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жные по артикулам" sheetId="1" state="visible" r:id="rId1"/>
  </sheets>
  <definedNames>
    <definedName name="_xlnm._FilterDatabase" localSheetId="0" hidden="1">'Смежные по артикулам'!$A$1:$O$62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30" customWidth="1" min="4" max="4"/>
    <col width="12" customWidth="1" min="5" max="5"/>
    <col width="12" customWidth="1" min="6" max="6"/>
    <col width="16" customWidth="1" min="7" max="7"/>
    <col width="18" customWidth="1" min="8" max="8"/>
    <col width="26" customWidth="1" min="9" max="9"/>
    <col width="40" customWidth="1" min="10" max="10"/>
    <col width="20" customWidth="1" min="11" max="11"/>
    <col width="6" customWidth="1" min="12" max="12"/>
    <col width="36" customWidth="1" min="13" max="13"/>
    <col width="6" customWidth="1" min="14" max="14"/>
    <col width="36" customWidth="1" min="15" max="15"/>
  </cols>
  <sheetData>
    <row r="1">
      <c r="A1" s="1" t="inlineStr">
        <is>
          <t>Товар</t>
        </is>
      </c>
      <c r="B1" s="1" t="inlineStr">
        <is>
          <t>Артикулы</t>
        </is>
      </c>
      <c r="C1" s="1" t="inlineStr">
        <is>
          <t>Смежная категория</t>
        </is>
      </c>
      <c r="D1" s="1" t="inlineStr">
        <is>
          <t>Категория в конструкторе</t>
        </is>
      </c>
      <c r="E1" s="1" t="inlineStr">
        <is>
          <t>Тип</t>
        </is>
      </c>
      <c r="F1" s="1" t="inlineStr">
        <is>
          <t>Охват, чел.</t>
        </is>
      </c>
      <c r="G1" s="1" t="inlineStr">
        <is>
          <t>Пол</t>
        </is>
      </c>
      <c r="H1" s="1" t="inlineStr">
        <is>
          <t>Возраст</t>
        </is>
      </c>
      <c r="I1" s="1" t="inlineStr">
        <is>
          <t>География (топ-3)</t>
        </is>
      </c>
      <c r="J1" s="1" t="inlineStr">
        <is>
          <t>Чем зацепить</t>
        </is>
      </c>
      <c r="K1" s="1" t="inlineStr">
        <is>
          <t>Заголовок (≤18)</t>
        </is>
      </c>
      <c r="L1" s="1" t="inlineStr">
        <is>
          <t>Симв.</t>
        </is>
      </c>
      <c r="M1" s="1" t="inlineStr">
        <is>
          <t>Подзаголовок (≤42)</t>
        </is>
      </c>
      <c r="N1" s="1" t="inlineStr">
        <is>
          <t>Симв.</t>
        </is>
      </c>
      <c r="O1" s="1" t="inlineStr">
        <is>
          <t>Примечание</t>
        </is>
      </c>
    </row>
    <row r="2">
      <c r="A2" s="2" t="inlineStr">
        <is>
          <t>Паровые швабры</t>
        </is>
      </c>
      <c r="B2" s="2" t="inlineStr">
        <is>
          <t>SHVPAREKCHB, SHVPAREKCHB2, SHVPAR7V1CH</t>
        </is>
      </c>
      <c r="C2" s="2" t="inlineStr">
        <is>
          <t>Пароочистители</t>
        </is>
      </c>
      <c r="D2" s="2" t="inlineStr">
        <is>
          <t>Ур. 3: Пароочиститель</t>
        </is>
      </c>
      <c r="E2" s="2" t="inlineStr">
        <is>
          <t>Конкуренты</t>
        </is>
      </c>
      <c r="F2" s="3" t="n">
        <v>1121000</v>
      </c>
      <c r="G2" s="2" t="inlineStr">
        <is>
          <t>Ж 53% / М 47%</t>
        </is>
      </c>
      <c r="H2" s="2" t="inlineStr">
        <is>
          <t>25–44 (67%), больше всего 25–34</t>
        </is>
      </c>
      <c r="I2" s="2" t="inlineStr">
        <is>
          <t>Москва и МО 12%, Казань 10%, Екатеринбург 8%</t>
        </is>
      </c>
      <c r="J2" s="2" t="inlineStr">
        <is>
          <t>Ваша же категория (паровая швабра = пароочиститель) — перехват покупателей конкурентов. Козырь — 7 функций в одном</t>
        </is>
      </c>
      <c r="K2" s="2" t="inlineStr">
        <is>
          <t>Пар вместо химии</t>
        </is>
      </c>
      <c r="L2" s="2">
        <f>LEN(K2)</f>
        <v/>
      </c>
      <c r="M2" s="2" t="inlineStr">
        <is>
          <t>Паровая швабра 7в1: пол, плитка, одежда</t>
        </is>
      </c>
      <c r="N2" s="2">
        <f>LEN(M2)</f>
        <v/>
      </c>
      <c r="O2" s="2" t="inlineStr"/>
    </row>
    <row r="3">
      <c r="A3" s="2" t="inlineStr">
        <is>
          <t>Паровые швабры</t>
        </is>
      </c>
      <c r="B3" s="2" t="inlineStr">
        <is>
          <t>SHVPAREKCHB, SHVPAREKCHB2, SHVPAR7V1CH</t>
        </is>
      </c>
      <c r="C3" s="2" t="inlineStr">
        <is>
          <t>Моющие и чистящие средства</t>
        </is>
      </c>
      <c r="D3" s="2" t="inlineStr">
        <is>
          <t>Ур. 2: Моющие и чистящие средства
Ур. 3: Салфетки для уборки, Пятновыводитель</t>
        </is>
      </c>
      <c r="E3" s="2" t="inlineStr">
        <is>
          <t>Размещение</t>
        </is>
      </c>
      <c r="F3" s="3" t="n">
        <v>32039000</v>
      </c>
      <c r="G3" s="2" t="inlineStr">
        <is>
          <t>Ж 53% / М 47%</t>
        </is>
      </c>
      <c r="H3" s="2" t="inlineStr">
        <is>
          <t>25–44 (65%)</t>
        </is>
      </c>
      <c r="I3" s="2" t="inlineStr">
        <is>
          <t>Москва и МО 15%, Казань 10%, Екатеринбург 8%</t>
        </is>
      </c>
      <c r="J3" s="2" t="inlineStr">
        <is>
          <t>Огромная аудитория, уборка — постоянная забота. Козырь — чистота паром без химии. Экономные: только узкий таргет</t>
        </is>
      </c>
      <c r="K3" s="2" t="inlineStr">
        <is>
          <t>Чисто без химии</t>
        </is>
      </c>
      <c r="L3" s="2">
        <f>LEN(K3)</f>
        <v/>
      </c>
      <c r="M3" s="2" t="inlineStr">
        <is>
          <t>Паровая швабра: горячий пар вместо химии</t>
        </is>
      </c>
      <c r="N3" s="2">
        <f>LEN(M3)</f>
        <v/>
      </c>
      <c r="O3" s="2" t="inlineStr"/>
    </row>
    <row r="4">
      <c r="A4" s="2" t="inlineStr">
        <is>
          <t>Паровые швабры</t>
        </is>
      </c>
      <c r="B4" s="2" t="inlineStr">
        <is>
          <t>SHVPAREKCHB, SHVPAREKCHB2, SHVPAR7V1CH</t>
        </is>
      </c>
      <c r="C4" s="2" t="inlineStr">
        <is>
          <t>Держатели и запчасти для швабр</t>
        </is>
      </c>
      <c r="D4" s="2" t="inlineStr">
        <is>
          <t>Ур. 3: Держатель для швабры, Запчасть для швабры</t>
        </is>
      </c>
      <c r="E4" s="2" t="inlineStr">
        <is>
          <t>Размещение</t>
        </is>
      </c>
      <c r="F4" s="3" t="n">
        <v>436000</v>
      </c>
      <c r="G4" s="2" t="inlineStr">
        <is>
          <t>Ж 52% / М 48%</t>
        </is>
      </c>
      <c r="H4" s="2" t="inlineStr">
        <is>
          <t>35–54 (57%) — старше</t>
        </is>
      </c>
      <c r="I4" s="2" t="inlineStr">
        <is>
          <t>Москва и МО 18%, Казань 10%, СПб 9%</t>
        </is>
      </c>
      <c r="J4" s="2" t="inlineStr">
        <is>
          <t>Уже моют пол обычной шваброй — устали от тряпок и вёдер. Взрослая аудитория</t>
        </is>
      </c>
      <c r="K4" s="2" t="inlineStr">
        <is>
          <t>Без вёдер и тряпок</t>
        </is>
      </c>
      <c r="L4" s="2">
        <f>LEN(K4)</f>
        <v/>
      </c>
      <c r="M4" s="2" t="inlineStr">
        <is>
          <t>Паровая швабра моет пол горячим паром</t>
        </is>
      </c>
      <c r="N4" s="2">
        <f>LEN(M4)</f>
        <v/>
      </c>
      <c r="O4" s="2" t="inlineStr"/>
    </row>
    <row r="5">
      <c r="A5" s="2" t="inlineStr">
        <is>
          <t>Паровые швабры</t>
        </is>
      </c>
      <c r="B5" s="2" t="inlineStr">
        <is>
          <t>SHVPAREKCHB, SHVPAREKCHB2, SHVPAR7V1CH</t>
        </is>
      </c>
      <c r="C5" s="2" t="inlineStr">
        <is>
          <t>Аптека</t>
        </is>
      </c>
      <c r="D5" s="2" t="inlineStr">
        <is>
          <t>Ур. 1: Аптека</t>
        </is>
      </c>
      <c r="E5" s="2" t="inlineStr">
        <is>
          <t>Аудитория</t>
        </is>
      </c>
      <c r="F5" s="3" t="n">
        <v>38887000</v>
      </c>
      <c r="G5" s="2" t="inlineStr">
        <is>
          <t>М 51% / Ж 49%</t>
        </is>
      </c>
      <c r="H5" s="2" t="inlineStr">
        <is>
          <t>25–44 (62%)</t>
        </is>
      </c>
      <c r="I5" s="2" t="inlineStr">
        <is>
          <t>Москва и МО 15%, Казань 10%, Екатеринбург 8%</t>
        </is>
      </c>
      <c r="J5" s="2" t="inlineStr">
        <is>
          <t>Огромная (39 млн) и экономная — только узко: Ж 45+. Болит спина от уборки. Без медицинских обещаний</t>
        </is>
      </c>
      <c r="K5" s="2" t="inlineStr">
        <is>
          <t>Легко для спины</t>
        </is>
      </c>
      <c r="L5" s="2">
        <f>LEN(K5)</f>
        <v/>
      </c>
      <c r="M5" s="2" t="inlineStr">
        <is>
          <t>Паровая швабра — мытьё пола без наклонов</t>
        </is>
      </c>
      <c r="N5" s="2">
        <f>LEN(M5)</f>
        <v/>
      </c>
      <c r="O5" s="2" t="inlineStr"/>
    </row>
    <row r="6">
      <c r="A6" s="2" t="inlineStr">
        <is>
          <t>Паровые швабры</t>
        </is>
      </c>
      <c r="B6" s="2" t="inlineStr">
        <is>
          <t>SHVPAREKCHB, SHVPAREKCHB2, SHVPAR7V1CH</t>
        </is>
      </c>
      <c r="C6" s="2" t="inlineStr">
        <is>
          <t>Игрушки</t>
        </is>
      </c>
      <c r="D6" s="2" t="inlineStr">
        <is>
          <t>Ур. 2: Игрушки</t>
        </is>
      </c>
      <c r="E6" s="2" t="inlineStr">
        <is>
          <t>Аудитория</t>
        </is>
      </c>
      <c r="F6" s="3" t="n">
        <v>18454000</v>
      </c>
      <c r="G6" s="2" t="inlineStr">
        <is>
          <t>М 60% / Ж 40%</t>
        </is>
      </c>
      <c r="H6" s="2" t="inlineStr">
        <is>
          <t>18–44 (83%)</t>
        </is>
      </c>
      <c r="I6" s="2" t="inlineStr">
        <is>
          <t>Москва и МО 12%, Казань 7%, Краснодар 6%</t>
        </is>
      </c>
      <c r="J6" s="2" t="inlineStr">
        <is>
          <t>Родители, покупают подарки к праздникам. Работает перед Новым годом и 8 Марта</t>
        </is>
      </c>
      <c r="K6" s="2" t="inlineStr">
        <is>
          <t>Подарок для дома</t>
        </is>
      </c>
      <c r="L6" s="2">
        <f>LEN(K6)</f>
        <v/>
      </c>
      <c r="M6" s="2" t="inlineStr">
        <is>
          <t>Полезная техника в подарок всей семье</t>
        </is>
      </c>
      <c r="N6" s="2">
        <f>LEN(M6)</f>
        <v/>
      </c>
      <c r="O6" s="2" t="inlineStr"/>
    </row>
    <row r="7">
      <c r="A7" s="2" t="inlineStr">
        <is>
          <t>Паровые швабры</t>
        </is>
      </c>
      <c r="B7" s="2" t="inlineStr">
        <is>
          <t>SHVPAREKCHB, SHVPAREKCHB2, SHVPAR7V1CH</t>
        </is>
      </c>
      <c r="C7" s="2" t="inlineStr">
        <is>
          <t>Корма для кошек и собак</t>
        </is>
      </c>
      <c r="D7" s="2" t="inlineStr">
        <is>
          <t>Ур. 2: Корма и лакомства для кошек и собак
Ур. 3: Корм сухой</t>
        </is>
      </c>
      <c r="E7" s="2" t="inlineStr">
        <is>
          <t>Аудитория</t>
        </is>
      </c>
      <c r="F7" s="3" t="n">
        <v>9390000</v>
      </c>
      <c r="G7" s="2" t="inlineStr">
        <is>
          <t>Ж 56% / М 44%</t>
        </is>
      </c>
      <c r="H7" s="2" t="inlineStr">
        <is>
          <t>25–44 (63%)</t>
        </is>
      </c>
      <c r="I7" s="2" t="inlineStr">
        <is>
          <t>Москва и МО 19%, Казань 9%, СПб 9%</t>
        </is>
      </c>
      <c r="J7" s="2" t="inlineStr">
        <is>
          <t>Шерсть на полу, диване и одежде — постоянная боль владельцев питомцев. Отдельной категории «Корма для собак» в конструкторе нет — берите эту</t>
        </is>
      </c>
      <c r="K7" s="2" t="inlineStr">
        <is>
          <t>Дом с питомцем</t>
        </is>
      </c>
      <c r="L7" s="2">
        <f>LEN(K7)</f>
        <v/>
      </c>
      <c r="M7" s="2" t="inlineStr">
        <is>
          <t>Паровая швабра: пол чистый без химии</t>
        </is>
      </c>
      <c r="N7" s="2">
        <f>LEN(M7)</f>
        <v/>
      </c>
      <c r="O7" s="2" t="inlineStr"/>
    </row>
    <row r="8">
      <c r="A8" s="2" t="inlineStr">
        <is>
          <t>Паровые швабры</t>
        </is>
      </c>
      <c r="B8" s="2" t="inlineStr">
        <is>
          <t>SHVPAREKCHB, SHVPAREKCHB2, SHVPAR7V1CH</t>
        </is>
      </c>
      <c r="C8" s="2" t="inlineStr">
        <is>
          <t>Фены и термощётки</t>
        </is>
      </c>
      <c r="D8" s="2" t="inlineStr">
        <is>
          <t>Ур. 2: Фены и термощетки
Ур. 3: Фен для волос</t>
        </is>
      </c>
      <c r="E8" s="2" t="inlineStr">
        <is>
          <t>Аудитория</t>
        </is>
      </c>
      <c r="F8" s="3" t="n">
        <v>3944000</v>
      </c>
      <c r="G8" s="2" t="inlineStr">
        <is>
          <t>Ж 59% / М 41%</t>
        </is>
      </c>
      <c r="H8" s="2" t="inlineStr">
        <is>
          <t>18–34 (56%)</t>
        </is>
      </c>
      <c r="I8" s="2" t="inlineStr">
        <is>
          <t>Москва и МО 14%, Казань 10%, Краснодар 8%</t>
        </is>
      </c>
      <c r="J8" s="2" t="inlineStr">
        <is>
          <t>Молодые женщины, следят за образом и экономят время. Паровая швабра 7в1 освежает и одежду</t>
        </is>
      </c>
      <c r="K8" s="2" t="inlineStr">
        <is>
          <t>Образ без складок</t>
        </is>
      </c>
      <c r="L8" s="2">
        <f>LEN(K8)</f>
        <v/>
      </c>
      <c r="M8" s="2" t="inlineStr">
        <is>
          <t>Паровая швабра 7в1 освежит и одежду</t>
        </is>
      </c>
      <c r="N8" s="2">
        <f>LEN(M8)</f>
        <v/>
      </c>
      <c r="O8" s="2" t="inlineStr"/>
    </row>
    <row r="9">
      <c r="A9" s="2" t="inlineStr">
        <is>
          <t>Паровые швабры</t>
        </is>
      </c>
      <c r="B9" s="2" t="inlineStr">
        <is>
          <t>SHVPAREKCHB, SHVPAREKCHB2, SHVPAR7V1CH</t>
        </is>
      </c>
      <c r="C9" s="2" t="inlineStr">
        <is>
          <t>Подгузники и гигиена</t>
        </is>
      </c>
      <c r="D9" s="2" t="inlineStr">
        <is>
          <t>Ур. 2: Подгузники и гигиена</t>
        </is>
      </c>
      <c r="E9" s="2" t="inlineStr">
        <is>
          <t>Аудитория</t>
        </is>
      </c>
      <c r="F9" s="3" t="n">
        <v>3326000</v>
      </c>
      <c r="G9" s="2" t="inlineStr">
        <is>
          <t>Ж 61% / М 39%</t>
        </is>
      </c>
      <c r="H9" s="2" t="inlineStr">
        <is>
          <t>25–34 (50%) — молодые родители</t>
        </is>
      </c>
      <c r="I9" s="2" t="inlineStr">
        <is>
          <t>Москва и МО 17%, Казань 11%, Краснодар 9%</t>
        </is>
      </c>
      <c r="J9" s="2" t="inlineStr">
        <is>
          <t>Малыш ползает по полу — нужна чистота без химии. Самая молодая аудитория</t>
        </is>
      </c>
      <c r="K9" s="2" t="inlineStr">
        <is>
          <t>Чистый пол малышу</t>
        </is>
      </c>
      <c r="L9" s="2">
        <f>LEN(K9)</f>
        <v/>
      </c>
      <c r="M9" s="2" t="inlineStr">
        <is>
          <t>Пар вместо химии там, где ползает малыш</t>
        </is>
      </c>
      <c r="N9" s="2">
        <f>LEN(M9)</f>
        <v/>
      </c>
      <c r="O9" s="2" t="inlineStr"/>
    </row>
    <row r="10">
      <c r="A10" s="2" t="inlineStr">
        <is>
          <t>Паровые швабры</t>
        </is>
      </c>
      <c r="B10" s="2" t="inlineStr">
        <is>
          <t>SHVPAREKCHB, SHVPAREKCHB2, SHVPAR7V1CH</t>
        </is>
      </c>
      <c r="C10" s="2" t="inlineStr">
        <is>
          <t>Мебель для кухни</t>
        </is>
      </c>
      <c r="D10" s="2" t="inlineStr">
        <is>
          <t>Ур. 2: Мебель для кухни</t>
        </is>
      </c>
      <c r="E10" s="2" t="inlineStr">
        <is>
          <t>Аудитория</t>
        </is>
      </c>
      <c r="F10" s="3" t="n">
        <v>676000</v>
      </c>
      <c r="G10" s="2" t="inlineStr">
        <is>
          <t>Ж 51% / М 49%</t>
        </is>
      </c>
      <c r="H10" s="2" t="inlineStr">
        <is>
          <t>25–44 (68%)</t>
        </is>
      </c>
      <c r="I10" s="2" t="inlineStr">
        <is>
          <t>Москва и МО 15%, Казань 10%, Екатеринбург 9%</t>
        </is>
      </c>
      <c r="J10" s="2" t="inlineStr">
        <is>
          <t>Обновили кухню — хотят сохранить её как новую: жир на плите, плитка, пол. Чек выше среднего (3–10 тыс. у 21%)</t>
        </is>
      </c>
      <c r="K10" s="2" t="inlineStr">
        <is>
          <t>Кухня как новая</t>
        </is>
      </c>
      <c r="L10" s="2">
        <f>LEN(K10)</f>
        <v/>
      </c>
      <c r="M10" s="2" t="inlineStr">
        <is>
          <t>Пар для плиты, плитки и пола</t>
        </is>
      </c>
      <c r="N10" s="2">
        <f>LEN(M10)</f>
        <v/>
      </c>
      <c r="O10" s="2" t="inlineStr"/>
    </row>
    <row r="11">
      <c r="A11" s="2" t="inlineStr">
        <is>
          <t>Вертикальный сухой пылесос</t>
        </is>
      </c>
      <c r="B11" s="2" t="inlineStr">
        <is>
          <t>VACCLDRY</t>
        </is>
      </c>
      <c r="C11" s="2" t="inlineStr">
        <is>
          <t>Роботы для мойки окон</t>
        </is>
      </c>
      <c r="D11" s="2" t="inlineStr">
        <is>
          <t>Ур. 3: Робот для мойки окон</t>
        </is>
      </c>
      <c r="E11" s="2" t="inlineStr">
        <is>
          <t>Размещение</t>
        </is>
      </c>
      <c r="F11" s="3" t="n">
        <v>755000</v>
      </c>
      <c r="G11" s="2" t="inlineStr">
        <is>
          <t>Ж 51% / М 49%</t>
        </is>
      </c>
      <c r="H11" s="2" t="inlineStr">
        <is>
          <t>25–44 (67%), больше всего 35–44</t>
        </is>
      </c>
      <c r="I11" s="2" t="inlineStr">
        <is>
          <t>Москва и МО 16%, Казань 10%, Центр 9%</t>
        </is>
      </c>
      <c r="J11" s="2" t="inlineStr">
        <is>
          <t>Автоматизируют уборку, платёжеспособные, ценят своё время</t>
        </is>
      </c>
      <c r="K11" s="2" t="inlineStr">
        <is>
          <t>Уборка без рутины</t>
        </is>
      </c>
      <c r="L11" s="2">
        <f>LEN(K11)</f>
        <v/>
      </c>
      <c r="M11" s="2" t="inlineStr">
        <is>
          <t>Пылесос, с которым уборка быстрее</t>
        </is>
      </c>
      <c r="N11" s="2">
        <f>LEN(M11)</f>
        <v/>
      </c>
      <c r="O11" s="2" t="inlineStr">
        <is>
          <t>Своя категория: здесь же продаётся ваш робот-мойщик uClean Max — пылесос будет конкурировать с ним</t>
        </is>
      </c>
    </row>
    <row r="12">
      <c r="A12" s="2" t="inlineStr">
        <is>
          <t>Вертикальный сухой пылесос</t>
        </is>
      </c>
      <c r="B12" s="2" t="inlineStr">
        <is>
          <t>VACCLDRY</t>
        </is>
      </c>
      <c r="C12" s="2" t="inlineStr">
        <is>
          <t>Аптека</t>
        </is>
      </c>
      <c r="D12" s="2" t="inlineStr">
        <is>
          <t>Ур. 1: Аптека</t>
        </is>
      </c>
      <c r="E12" s="2" t="inlineStr">
        <is>
          <t>Аудитория</t>
        </is>
      </c>
      <c r="F12" s="3" t="n">
        <v>38887000</v>
      </c>
      <c r="G12" s="2" t="inlineStr">
        <is>
          <t>М 51% / Ж 49%</t>
        </is>
      </c>
      <c r="H12" s="2" t="inlineStr">
        <is>
          <t>25–44 (62%)</t>
        </is>
      </c>
      <c r="I12" s="2" t="inlineStr">
        <is>
          <t>Москва и МО 15%, Казань 10%, Екатеринбург 8%</t>
        </is>
      </c>
      <c r="J12" s="2" t="inlineStr">
        <is>
          <t>Огромная (39 млн) и экономная — только узко: Ж 45+. Болит спина от уборки. Без медицинских обещаний</t>
        </is>
      </c>
      <c r="K12" s="2" t="inlineStr">
        <is>
          <t>Легко для спины</t>
        </is>
      </c>
      <c r="L12" s="2">
        <f>LEN(K12)</f>
        <v/>
      </c>
      <c r="M12" s="2" t="inlineStr">
        <is>
          <t>Вертикальный пылесос — уборка без наклонов</t>
        </is>
      </c>
      <c r="N12" s="2">
        <f>LEN(M12)</f>
        <v/>
      </c>
      <c r="O12" s="2" t="inlineStr"/>
    </row>
    <row r="13">
      <c r="A13" s="2" t="inlineStr">
        <is>
          <t>Вертикальный сухой пылесос</t>
        </is>
      </c>
      <c r="B13" s="2" t="inlineStr">
        <is>
          <t>VACCLDRY</t>
        </is>
      </c>
      <c r="C13" s="2" t="inlineStr">
        <is>
          <t>Игрушки</t>
        </is>
      </c>
      <c r="D13" s="2" t="inlineStr">
        <is>
          <t>Ур. 2: Игрушки</t>
        </is>
      </c>
      <c r="E13" s="2" t="inlineStr">
        <is>
          <t>Аудитория</t>
        </is>
      </c>
      <c r="F13" s="3" t="n">
        <v>18454000</v>
      </c>
      <c r="G13" s="2" t="inlineStr">
        <is>
          <t>М 60% / Ж 40%</t>
        </is>
      </c>
      <c r="H13" s="2" t="inlineStr">
        <is>
          <t>18–44 (83%)</t>
        </is>
      </c>
      <c r="I13" s="2" t="inlineStr">
        <is>
          <t>Москва и МО 12%, Казань 7%, Краснодар 6%</t>
        </is>
      </c>
      <c r="J13" s="2" t="inlineStr">
        <is>
          <t>Родители, покупают подарки к праздникам. Работает перед Новым годом и 8 Марта</t>
        </is>
      </c>
      <c r="K13" s="2" t="inlineStr">
        <is>
          <t>Подарок для дома</t>
        </is>
      </c>
      <c r="L13" s="2">
        <f>LEN(K13)</f>
        <v/>
      </c>
      <c r="M13" s="2" t="inlineStr">
        <is>
          <t>Полезная техника в подарок всей семье</t>
        </is>
      </c>
      <c r="N13" s="2">
        <f>LEN(M13)</f>
        <v/>
      </c>
      <c r="O13" s="2" t="inlineStr"/>
    </row>
    <row r="14">
      <c r="A14" s="2" t="inlineStr">
        <is>
          <t>Вертикальный сухой пылесос</t>
        </is>
      </c>
      <c r="B14" s="2" t="inlineStr">
        <is>
          <t>VACCLDRY</t>
        </is>
      </c>
      <c r="C14" s="2" t="inlineStr">
        <is>
          <t>Корма для кошек и собак</t>
        </is>
      </c>
      <c r="D14" s="2" t="inlineStr">
        <is>
          <t>Ур. 2: Корма и лакомства для кошек и собак
Ур. 3: Корм сухой</t>
        </is>
      </c>
      <c r="E14" s="2" t="inlineStr">
        <is>
          <t>Аудитория</t>
        </is>
      </c>
      <c r="F14" s="3" t="n">
        <v>9390000</v>
      </c>
      <c r="G14" s="2" t="inlineStr">
        <is>
          <t>Ж 56% / М 44%</t>
        </is>
      </c>
      <c r="H14" s="2" t="inlineStr">
        <is>
          <t>25–44 (63%)</t>
        </is>
      </c>
      <c r="I14" s="2" t="inlineStr">
        <is>
          <t>Москва и МО 19%, Казань 9%, СПб 9%</t>
        </is>
      </c>
      <c r="J14" s="2" t="inlineStr">
        <is>
          <t>Шерсть на полу, диване и одежде — постоянная боль владельцев питомцев. Отдельной категории «Корма для собак» в конструкторе нет — берите эту</t>
        </is>
      </c>
      <c r="K14" s="2" t="inlineStr">
        <is>
          <t>Прощай, шерсть</t>
        </is>
      </c>
      <c r="L14" s="2">
        <f>LEN(K14)</f>
        <v/>
      </c>
      <c r="M14" s="2" t="inlineStr">
        <is>
          <t>Пылесос для дома, где живут питомцы</t>
        </is>
      </c>
      <c r="N14" s="2">
        <f>LEN(M14)</f>
        <v/>
      </c>
      <c r="O14" s="2" t="inlineStr"/>
    </row>
    <row r="15">
      <c r="A15" s="2" t="inlineStr">
        <is>
          <t>Вертикальный сухой пылесос</t>
        </is>
      </c>
      <c r="B15" s="2" t="inlineStr">
        <is>
          <t>VACCLDRY</t>
        </is>
      </c>
      <c r="C15" s="2" t="inlineStr">
        <is>
          <t>Электроинструмент (шлифмашины, дрели, пилы)</t>
        </is>
      </c>
      <c r="D15" s="2" t="inlineStr">
        <is>
          <t>Ур. 2: Шлифовальные машины, Электродрели, Электропилы
Ур. 3: Шлифмашина, Дрель-шуруповерт, Электропила, Гайковерт</t>
        </is>
      </c>
      <c r="E15" s="2" t="inlineStr">
        <is>
          <t>Аудитория</t>
        </is>
      </c>
      <c r="F15" s="2" t="inlineStr">
        <is>
          <t>2,4–3,8 млн</t>
        </is>
      </c>
      <c r="G15" s="2" t="inlineStr">
        <is>
          <t>М 71–79% / Ж 21–29%</t>
        </is>
      </c>
      <c r="H15" s="2" t="inlineStr">
        <is>
          <t>25–44 (≈67%), больше всего 35–44</t>
        </is>
      </c>
      <c r="I15" s="2" t="inlineStr">
        <is>
          <t>Москва и МО 11%, Казань 10%, Екатеринбург 8%</t>
        </is>
      </c>
      <c r="J15" s="2" t="inlineStr">
        <is>
          <t>Мужчины, сами делают ремонт. После работы — пыль и мусор. Ценят мощность и надёжность</t>
        </is>
      </c>
      <c r="K15" s="2" t="inlineStr">
        <is>
          <t>Порядок без усилий</t>
        </is>
      </c>
      <c r="L15" s="2">
        <f>LEN(K15)</f>
        <v/>
      </c>
      <c r="M15" s="2" t="inlineStr">
        <is>
          <t>Беспроводной пылесос для дома и гаража</t>
        </is>
      </c>
      <c r="N15" s="2">
        <f>LEN(M15)</f>
        <v/>
      </c>
      <c r="O15" s="2" t="inlineStr"/>
    </row>
    <row r="16">
      <c r="A16" s="2" t="inlineStr">
        <is>
          <t>Вертикальный сухой пылесос</t>
        </is>
      </c>
      <c r="B16" s="2" t="inlineStr">
        <is>
          <t>VACCLDRY</t>
        </is>
      </c>
      <c r="C16" s="2" t="inlineStr">
        <is>
          <t>Холодильники</t>
        </is>
      </c>
      <c r="D16" s="2" t="inlineStr">
        <is>
          <t>Ур. 2: Холодильники</t>
        </is>
      </c>
      <c r="E16" s="2" t="inlineStr">
        <is>
          <t>Аудитория</t>
        </is>
      </c>
      <c r="F16" s="3" t="n">
        <v>932000</v>
      </c>
      <c r="G16" s="2" t="inlineStr">
        <is>
          <t>М 57% / Ж 43%</t>
        </is>
      </c>
      <c r="H16" s="2" t="inlineStr">
        <is>
          <t>25–44 (70%)</t>
        </is>
      </c>
      <c r="I16" s="2" t="inlineStr">
        <is>
          <t>Москва и МО 19%, Казань 11%, Екатеринбург 9%</t>
        </is>
      </c>
      <c r="J16" s="2" t="inlineStr">
        <is>
          <t>Обновляют технику дома — самая платёжеспособная аудитория (чек 3–10 тыс. у 32%, 10 тыс.+ у 6%)</t>
        </is>
      </c>
      <c r="K16" s="2" t="inlineStr">
        <is>
          <t>Обновите технику</t>
        </is>
      </c>
      <c r="L16" s="2">
        <f>LEN(K16)</f>
        <v/>
      </c>
      <c r="M16" s="2" t="inlineStr">
        <is>
          <t>Вертикальный пылесос для обновлённого дома</t>
        </is>
      </c>
      <c r="N16" s="2">
        <f>LEN(M16)</f>
        <v/>
      </c>
      <c r="O16" s="2" t="inlineStr"/>
    </row>
    <row r="17">
      <c r="A17" s="2" t="inlineStr">
        <is>
          <t>Вертикальный сухой пылесос</t>
        </is>
      </c>
      <c r="B17" s="2" t="inlineStr">
        <is>
          <t>VACCLDRY</t>
        </is>
      </c>
      <c r="C17" s="2" t="inlineStr">
        <is>
          <t>Бандаж для беременных</t>
        </is>
      </c>
      <c r="D17" s="2" t="inlineStr">
        <is>
          <t>Ур. 3: Бандаж для беременных</t>
        </is>
      </c>
      <c r="E17" s="2" t="inlineStr">
        <is>
          <t>Аудитория</t>
        </is>
      </c>
      <c r="F17" s="3" t="n">
        <v>122000</v>
      </c>
      <c r="G17" s="2" t="inlineStr">
        <is>
          <t>Ж 64% / М 36%</t>
        </is>
      </c>
      <c r="H17" s="2" t="inlineStr">
        <is>
          <t>18–34 (85%)</t>
        </is>
      </c>
      <c r="I17" s="2" t="inlineStr">
        <is>
          <t>Москва и МО 16%, Казань 10%, Екатеринбург 9%</t>
        </is>
      </c>
      <c r="J17" s="2" t="inlineStr">
        <is>
          <t>Беременным тяжело нагибаться — нужна лёгкая уборка. Маленький сегмент (122 тыс.)</t>
        </is>
      </c>
      <c r="K17" s="2" t="inlineStr">
        <is>
          <t>Уборка бережно</t>
        </is>
      </c>
      <c r="L17" s="2">
        <f>LEN(K17)</f>
        <v/>
      </c>
      <c r="M17" s="2" t="inlineStr">
        <is>
          <t>Лёгкий пылесос — уборка без наклонов</t>
        </is>
      </c>
      <c r="N17" s="2">
        <f>LEN(M17)</f>
        <v/>
      </c>
      <c r="O17" s="2" t="inlineStr"/>
    </row>
    <row r="18">
      <c r="A18" s="2" t="inlineStr">
        <is>
          <t>Вертикальный моющий пылесос</t>
        </is>
      </c>
      <c r="B18" s="2" t="inlineStr">
        <is>
          <t>VACCLWASH</t>
        </is>
      </c>
      <c r="C18" s="2" t="inlineStr">
        <is>
          <t>Моющие пылесосы</t>
        </is>
      </c>
      <c r="D18" s="2" t="inlineStr">
        <is>
          <t>Ур. 2: Пылесосы
Ур. 3: Моющий пылесос</t>
        </is>
      </c>
      <c r="E18" s="2" t="inlineStr">
        <is>
          <t>Конкуренты</t>
        </is>
      </c>
      <c r="F18" s="3" t="n">
        <v>891000</v>
      </c>
      <c r="G18" s="2" t="inlineStr">
        <is>
          <t>Ж 50% / М 50%</t>
        </is>
      </c>
      <c r="H18" s="2" t="inlineStr">
        <is>
          <t>25–34 (42%)</t>
        </is>
      </c>
      <c r="I18" s="2" t="inlineStr">
        <is>
          <t>Москва и МО 12%, Казань 11%, Екатеринбург 8%</t>
        </is>
      </c>
      <c r="J18" s="2" t="inlineStr">
        <is>
          <t>Ваша же категория — перехват у конкурентов. Молодые, чек выше рынка</t>
        </is>
      </c>
      <c r="K18" s="2" t="inlineStr">
        <is>
          <t>Чисто каждый день</t>
        </is>
      </c>
      <c r="L18" s="2">
        <f>LEN(K18)</f>
        <v/>
      </c>
      <c r="M18" s="2" t="inlineStr">
        <is>
          <t>Моющий вертикальный пылесос без проводов</t>
        </is>
      </c>
      <c r="N18" s="2">
        <f>LEN(M18)</f>
        <v/>
      </c>
      <c r="O18" s="2" t="inlineStr"/>
    </row>
    <row r="19">
      <c r="A19" s="2" t="inlineStr">
        <is>
          <t>Вертикальный моющий пылесос</t>
        </is>
      </c>
      <c r="B19" s="2" t="inlineStr">
        <is>
          <t>VACCLWASH</t>
        </is>
      </c>
      <c r="C19" s="2" t="inlineStr">
        <is>
          <t>Роботы для мойки окон</t>
        </is>
      </c>
      <c r="D19" s="2" t="inlineStr">
        <is>
          <t>Ур. 3: Робот для мойки окон</t>
        </is>
      </c>
      <c r="E19" s="2" t="inlineStr">
        <is>
          <t>Размещение</t>
        </is>
      </c>
      <c r="F19" s="3" t="n">
        <v>755000</v>
      </c>
      <c r="G19" s="2" t="inlineStr">
        <is>
          <t>Ж 51% / М 49%</t>
        </is>
      </c>
      <c r="H19" s="2" t="inlineStr">
        <is>
          <t>25–44 (67%), больше всего 35–44</t>
        </is>
      </c>
      <c r="I19" s="2" t="inlineStr">
        <is>
          <t>Москва и МО 16%, Казань 10%, Центр 9%</t>
        </is>
      </c>
      <c r="J19" s="2" t="inlineStr">
        <is>
          <t>Автоматизируют уборку, платёжеспособные, ценят своё время</t>
        </is>
      </c>
      <c r="K19" s="2" t="inlineStr">
        <is>
          <t>Уборка без рутины</t>
        </is>
      </c>
      <c r="L19" s="2">
        <f>LEN(K19)</f>
        <v/>
      </c>
      <c r="M19" s="2" t="inlineStr">
        <is>
          <t>Пылесос, с которым уборка быстрее</t>
        </is>
      </c>
      <c r="N19" s="2">
        <f>LEN(M19)</f>
        <v/>
      </c>
      <c r="O19" s="2" t="inlineStr">
        <is>
          <t>Своя категория: здесь же продаётся ваш робот-мойщик uClean Max — пылесос будет конкурировать с ним</t>
        </is>
      </c>
    </row>
    <row r="20">
      <c r="A20" s="2" t="inlineStr">
        <is>
          <t>Вертикальный моющий пылесос</t>
        </is>
      </c>
      <c r="B20" s="2" t="inlineStr">
        <is>
          <t>VACCLWASH</t>
        </is>
      </c>
      <c r="C20" s="2" t="inlineStr">
        <is>
          <t>Аптека</t>
        </is>
      </c>
      <c r="D20" s="2" t="inlineStr">
        <is>
          <t>Ур. 1: Аптека</t>
        </is>
      </c>
      <c r="E20" s="2" t="inlineStr">
        <is>
          <t>Аудитория</t>
        </is>
      </c>
      <c r="F20" s="3" t="n">
        <v>38887000</v>
      </c>
      <c r="G20" s="2" t="inlineStr">
        <is>
          <t>М 51% / Ж 49%</t>
        </is>
      </c>
      <c r="H20" s="2" t="inlineStr">
        <is>
          <t>25–44 (62%)</t>
        </is>
      </c>
      <c r="I20" s="2" t="inlineStr">
        <is>
          <t>Москва и МО 15%, Казань 10%, Екатеринбург 8%</t>
        </is>
      </c>
      <c r="J20" s="2" t="inlineStr">
        <is>
          <t>Огромная (39 млн) и экономная — только узко: Ж 45+. Болит спина от уборки. Без медицинских обещаний</t>
        </is>
      </c>
      <c r="K20" s="2" t="inlineStr">
        <is>
          <t>Легко для спины</t>
        </is>
      </c>
      <c r="L20" s="2">
        <f>LEN(K20)</f>
        <v/>
      </c>
      <c r="M20" s="2" t="inlineStr">
        <is>
          <t>Вертикальный пылесос — уборка без наклонов</t>
        </is>
      </c>
      <c r="N20" s="2">
        <f>LEN(M20)</f>
        <v/>
      </c>
      <c r="O20" s="2" t="inlineStr"/>
    </row>
    <row r="21">
      <c r="A21" s="2" t="inlineStr">
        <is>
          <t>Вертикальный моющий пылесос</t>
        </is>
      </c>
      <c r="B21" s="2" t="inlineStr">
        <is>
          <t>VACCLWASH</t>
        </is>
      </c>
      <c r="C21" s="2" t="inlineStr">
        <is>
          <t>Игрушки</t>
        </is>
      </c>
      <c r="D21" s="2" t="inlineStr">
        <is>
          <t>Ур. 2: Игрушки</t>
        </is>
      </c>
      <c r="E21" s="2" t="inlineStr">
        <is>
          <t>Аудитория</t>
        </is>
      </c>
      <c r="F21" s="3" t="n">
        <v>18454000</v>
      </c>
      <c r="G21" s="2" t="inlineStr">
        <is>
          <t>М 60% / Ж 40%</t>
        </is>
      </c>
      <c r="H21" s="2" t="inlineStr">
        <is>
          <t>18–44 (83%)</t>
        </is>
      </c>
      <c r="I21" s="2" t="inlineStr">
        <is>
          <t>Москва и МО 12%, Казань 7%, Краснодар 6%</t>
        </is>
      </c>
      <c r="J21" s="2" t="inlineStr">
        <is>
          <t>Родители, покупают подарки к праздникам. Работает перед Новым годом и 8 Марта</t>
        </is>
      </c>
      <c r="K21" s="2" t="inlineStr">
        <is>
          <t>Подарок для дома</t>
        </is>
      </c>
      <c r="L21" s="2">
        <f>LEN(K21)</f>
        <v/>
      </c>
      <c r="M21" s="2" t="inlineStr">
        <is>
          <t>Полезная техника в подарок всей семье</t>
        </is>
      </c>
      <c r="N21" s="2">
        <f>LEN(M21)</f>
        <v/>
      </c>
      <c r="O21" s="2" t="inlineStr"/>
    </row>
    <row r="22">
      <c r="A22" s="2" t="inlineStr">
        <is>
          <t>Вертикальный моющий пылесос</t>
        </is>
      </c>
      <c r="B22" s="2" t="inlineStr">
        <is>
          <t>VACCLWASH</t>
        </is>
      </c>
      <c r="C22" s="2" t="inlineStr">
        <is>
          <t>Корма для кошек и собак</t>
        </is>
      </c>
      <c r="D22" s="2" t="inlineStr">
        <is>
          <t>Ур. 2: Корма и лакомства для кошек и собак
Ур. 3: Корм сухой</t>
        </is>
      </c>
      <c r="E22" s="2" t="inlineStr">
        <is>
          <t>Аудитория</t>
        </is>
      </c>
      <c r="F22" s="3" t="n">
        <v>9390000</v>
      </c>
      <c r="G22" s="2" t="inlineStr">
        <is>
          <t>Ж 56% / М 44%</t>
        </is>
      </c>
      <c r="H22" s="2" t="inlineStr">
        <is>
          <t>25–44 (63%)</t>
        </is>
      </c>
      <c r="I22" s="2" t="inlineStr">
        <is>
          <t>Москва и МО 19%, Казань 9%, СПб 9%</t>
        </is>
      </c>
      <c r="J22" s="2" t="inlineStr">
        <is>
          <t>Шерсть на полу, диване и одежде — постоянная боль владельцев питомцев. Отдельной категории «Корма для собак» в конструкторе нет — берите эту</t>
        </is>
      </c>
      <c r="K22" s="2" t="inlineStr">
        <is>
          <t>Прощай, шерсть</t>
        </is>
      </c>
      <c r="L22" s="2">
        <f>LEN(K22)</f>
        <v/>
      </c>
      <c r="M22" s="2" t="inlineStr">
        <is>
          <t>Пылесос для дома, где живут питомцы</t>
        </is>
      </c>
      <c r="N22" s="2">
        <f>LEN(M22)</f>
        <v/>
      </c>
      <c r="O22" s="2" t="inlineStr"/>
    </row>
    <row r="23">
      <c r="A23" s="2" t="inlineStr">
        <is>
          <t>Вертикальный моющий пылесос</t>
        </is>
      </c>
      <c r="B23" s="2" t="inlineStr">
        <is>
          <t>VACCLWASH</t>
        </is>
      </c>
      <c r="C23" s="2" t="inlineStr">
        <is>
          <t>Электроинструмент (шлифмашины, дрели, пилы)</t>
        </is>
      </c>
      <c r="D23" s="2" t="inlineStr">
        <is>
          <t>Ур. 2: Шлифовальные машины, Электродрели, Электропилы
Ур. 3: Шлифмашина, Дрель-шуруповерт, Электропила, Гайковерт</t>
        </is>
      </c>
      <c r="E23" s="2" t="inlineStr">
        <is>
          <t>Аудитория</t>
        </is>
      </c>
      <c r="F23" s="2" t="inlineStr">
        <is>
          <t>2,4–3,8 млн</t>
        </is>
      </c>
      <c r="G23" s="2" t="inlineStr">
        <is>
          <t>М 71–79% / Ж 21–29%</t>
        </is>
      </c>
      <c r="H23" s="2" t="inlineStr">
        <is>
          <t>25–44 (≈67%), больше всего 35–44</t>
        </is>
      </c>
      <c r="I23" s="2" t="inlineStr">
        <is>
          <t>Москва и МО 11%, Казань 10%, Екатеринбург 8%</t>
        </is>
      </c>
      <c r="J23" s="2" t="inlineStr">
        <is>
          <t>Мужчины, сами делают ремонт. После работы — пыль и мусор. Ценят мощность и надёжность</t>
        </is>
      </c>
      <c r="K23" s="2" t="inlineStr">
        <is>
          <t>Порядок без усилий</t>
        </is>
      </c>
      <c r="L23" s="2">
        <f>LEN(K23)</f>
        <v/>
      </c>
      <c r="M23" s="2" t="inlineStr">
        <is>
          <t>Беспроводной пылесос для дома и гаража</t>
        </is>
      </c>
      <c r="N23" s="2">
        <f>LEN(M23)</f>
        <v/>
      </c>
      <c r="O23" s="2" t="inlineStr"/>
    </row>
    <row r="24">
      <c r="A24" s="2" t="inlineStr">
        <is>
          <t>Вертикальный моющий пылесос</t>
        </is>
      </c>
      <c r="B24" s="2" t="inlineStr">
        <is>
          <t>VACCLWASH</t>
        </is>
      </c>
      <c r="C24" s="2" t="inlineStr">
        <is>
          <t>Холодильники</t>
        </is>
      </c>
      <c r="D24" s="2" t="inlineStr">
        <is>
          <t>Ур. 2: Холодильники</t>
        </is>
      </c>
      <c r="E24" s="2" t="inlineStr">
        <is>
          <t>Аудитория</t>
        </is>
      </c>
      <c r="F24" s="3" t="n">
        <v>932000</v>
      </c>
      <c r="G24" s="2" t="inlineStr">
        <is>
          <t>М 57% / Ж 43%</t>
        </is>
      </c>
      <c r="H24" s="2" t="inlineStr">
        <is>
          <t>25–44 (70%)</t>
        </is>
      </c>
      <c r="I24" s="2" t="inlineStr">
        <is>
          <t>Москва и МО 19%, Казань 11%, Екатеринбург 9%</t>
        </is>
      </c>
      <c r="J24" s="2" t="inlineStr">
        <is>
          <t>Обновляют технику дома — самая платёжеспособная аудитория (чек 3–10 тыс. у 32%, 10 тыс.+ у 6%)</t>
        </is>
      </c>
      <c r="K24" s="2" t="inlineStr">
        <is>
          <t>Обновите технику</t>
        </is>
      </c>
      <c r="L24" s="2">
        <f>LEN(K24)</f>
        <v/>
      </c>
      <c r="M24" s="2" t="inlineStr">
        <is>
          <t>Вертикальный пылесос для обновлённого дома</t>
        </is>
      </c>
      <c r="N24" s="2">
        <f>LEN(M24)</f>
        <v/>
      </c>
      <c r="O24" s="2" t="inlineStr"/>
    </row>
    <row r="25">
      <c r="A25" s="2" t="inlineStr">
        <is>
          <t>Вертикальный моющий пылесос</t>
        </is>
      </c>
      <c r="B25" s="2" t="inlineStr">
        <is>
          <t>VACCLWASH</t>
        </is>
      </c>
      <c r="C25" s="2" t="inlineStr">
        <is>
          <t>Ламинат</t>
        </is>
      </c>
      <c r="D25" s="2" t="inlineStr">
        <is>
          <t>Ур. 3: Ламинат</t>
        </is>
      </c>
      <c r="E25" s="2" t="inlineStr">
        <is>
          <t>Аудитория</t>
        </is>
      </c>
      <c r="F25" s="3" t="n">
        <v>126000</v>
      </c>
      <c r="G25" s="2" t="inlineStr">
        <is>
          <t>М 53% / Ж 47%</t>
        </is>
      </c>
      <c r="H25" s="2" t="inlineStr">
        <is>
          <t>25–44 (67%)</t>
        </is>
      </c>
      <c r="I25" s="2" t="inlineStr">
        <is>
          <t>Москва и МО 13%, Екатеринбург 8%, СПб 8%</t>
        </is>
      </c>
      <c r="J25" s="2" t="inlineStr">
        <is>
          <t>Новый ламинат боится воды — нужна влажная уборка без луж. Маленький сегмент (126 тыс.)</t>
        </is>
      </c>
      <c r="K25" s="2" t="inlineStr">
        <is>
          <t>Ламинат без луж</t>
        </is>
      </c>
      <c r="L25" s="2">
        <f>LEN(K25)</f>
        <v/>
      </c>
      <c r="M25" s="2" t="inlineStr">
        <is>
          <t>Моет ламинат минимумом воды</t>
        </is>
      </c>
      <c r="N25" s="2">
        <f>LEN(M25)</f>
        <v/>
      </c>
      <c r="O25" s="2" t="inlineStr">
        <is>
          <t>«Минимум воды» — сверить с карточкой, на сайте такого факта нет</t>
        </is>
      </c>
    </row>
    <row r="26">
      <c r="A26" s="2" t="inlineStr">
        <is>
          <t>Вертикальный моющий пылесос</t>
        </is>
      </c>
      <c r="B26" s="2" t="inlineStr">
        <is>
          <t>VACCLWASH</t>
        </is>
      </c>
      <c r="C26" s="2" t="inlineStr">
        <is>
          <t>Бандаж для беременных</t>
        </is>
      </c>
      <c r="D26" s="2" t="inlineStr">
        <is>
          <t>Ур. 3: Бандаж для беременных</t>
        </is>
      </c>
      <c r="E26" s="2" t="inlineStr">
        <is>
          <t>Аудитория</t>
        </is>
      </c>
      <c r="F26" s="3" t="n">
        <v>122000</v>
      </c>
      <c r="G26" s="2" t="inlineStr">
        <is>
          <t>Ж 64% / М 36%</t>
        </is>
      </c>
      <c r="H26" s="2" t="inlineStr">
        <is>
          <t>18–34 (85%)</t>
        </is>
      </c>
      <c r="I26" s="2" t="inlineStr">
        <is>
          <t>Москва и МО 16%, Казань 10%, Екатеринбург 9%</t>
        </is>
      </c>
      <c r="J26" s="2" t="inlineStr">
        <is>
          <t>Беременным тяжело нагибаться — нужна лёгкая уборка. Маленький сегмент (122 тыс.)</t>
        </is>
      </c>
      <c r="K26" s="2" t="inlineStr">
        <is>
          <t>Уборка бережно</t>
        </is>
      </c>
      <c r="L26" s="2">
        <f>LEN(K26)</f>
        <v/>
      </c>
      <c r="M26" s="2" t="inlineStr">
        <is>
          <t>Лёгкий пылесос — уборка без наклонов</t>
        </is>
      </c>
      <c r="N26" s="2">
        <f>LEN(M26)</f>
        <v/>
      </c>
      <c r="O26" s="2" t="inlineStr"/>
    </row>
    <row r="27">
      <c r="A27" s="2" t="inlineStr">
        <is>
          <t>Компактный моющий пылесос</t>
        </is>
      </c>
      <c r="B27" s="2" t="inlineStr">
        <is>
          <t>VACCLCOMPACT</t>
        </is>
      </c>
      <c r="C27" s="2" t="inlineStr">
        <is>
          <t>Моющие и чистящие средства</t>
        </is>
      </c>
      <c r="D27" s="2" t="inlineStr">
        <is>
          <t>Ур. 2: Моющие и чистящие средства
Ур. 3: Салфетки для уборки, Пятновыводитель</t>
        </is>
      </c>
      <c r="E27" s="2" t="inlineStr">
        <is>
          <t>Размещение</t>
        </is>
      </c>
      <c r="F27" s="3" t="n">
        <v>32039000</v>
      </c>
      <c r="G27" s="2" t="inlineStr">
        <is>
          <t>Ж 53% / М 47%</t>
        </is>
      </c>
      <c r="H27" s="2" t="inlineStr">
        <is>
          <t>25–44 (65%)</t>
        </is>
      </c>
      <c r="I27" s="2" t="inlineStr">
        <is>
          <t>Москва и МО 15%, Казань 10%, Екатеринбург 8%</t>
        </is>
      </c>
      <c r="J27" s="2" t="inlineStr">
        <is>
          <t>Огромная аудитория, уборка — постоянная забота. Козырь — чистота паром без химии. Экономные: только узкий таргет</t>
        </is>
      </c>
      <c r="K27" s="2" t="inlineStr">
        <is>
          <t>Химчистка дома</t>
        </is>
      </c>
      <c r="L27" s="2">
        <f>LEN(K27)</f>
        <v/>
      </c>
      <c r="M27" s="2" t="inlineStr">
        <is>
          <t>Моющий пылесос с паром для мебели и авто</t>
        </is>
      </c>
      <c r="N27" s="2">
        <f>LEN(M27)</f>
        <v/>
      </c>
      <c r="O27" s="2" t="inlineStr"/>
    </row>
    <row r="28">
      <c r="A28" s="2" t="inlineStr">
        <is>
          <t>Компактный моющий пылесос</t>
        </is>
      </c>
      <c r="B28" s="2" t="inlineStr">
        <is>
          <t>VACCLCOMPACT</t>
        </is>
      </c>
      <c r="C28" s="2" t="inlineStr">
        <is>
          <t>Игрушки</t>
        </is>
      </c>
      <c r="D28" s="2" t="inlineStr">
        <is>
          <t>Ур. 2: Игрушки</t>
        </is>
      </c>
      <c r="E28" s="2" t="inlineStr">
        <is>
          <t>Аудитория</t>
        </is>
      </c>
      <c r="F28" s="3" t="n">
        <v>18454000</v>
      </c>
      <c r="G28" s="2" t="inlineStr">
        <is>
          <t>М 60% / Ж 40%</t>
        </is>
      </c>
      <c r="H28" s="2" t="inlineStr">
        <is>
          <t>18–44 (83%)</t>
        </is>
      </c>
      <c r="I28" s="2" t="inlineStr">
        <is>
          <t>Москва и МО 12%, Казань 7%, Краснодар 6%</t>
        </is>
      </c>
      <c r="J28" s="2" t="inlineStr">
        <is>
          <t>Родители, покупают подарки к праздникам. Работает перед Новым годом и 8 Марта</t>
        </is>
      </c>
      <c r="K28" s="2" t="inlineStr">
        <is>
          <t>Подарок для дома</t>
        </is>
      </c>
      <c r="L28" s="2">
        <f>LEN(K28)</f>
        <v/>
      </c>
      <c r="M28" s="2" t="inlineStr">
        <is>
          <t>Полезная техника в подарок всей семье</t>
        </is>
      </c>
      <c r="N28" s="2">
        <f>LEN(M28)</f>
        <v/>
      </c>
      <c r="O28" s="2" t="inlineStr"/>
    </row>
    <row r="29">
      <c r="A29" s="2" t="inlineStr">
        <is>
          <t>Компактный моющий пылесос</t>
        </is>
      </c>
      <c r="B29" s="2" t="inlineStr">
        <is>
          <t>VACCLCOMPACT</t>
        </is>
      </c>
      <c r="C29" s="2" t="inlineStr">
        <is>
          <t>Электроника для автомобиля</t>
        </is>
      </c>
      <c r="D29" s="2" t="inlineStr">
        <is>
          <t>Ур. 2: Электроника для автомобиля
Ур. 3: Видеорегистратор автомобильный, Компрессор автомобильный</t>
        </is>
      </c>
      <c r="E29" s="2" t="inlineStr">
        <is>
          <t>Аудитория</t>
        </is>
      </c>
      <c r="F29" s="3" t="n">
        <v>4526000</v>
      </c>
      <c r="G29" s="2" t="inlineStr">
        <is>
          <t>М 80% / Ж 20%</t>
        </is>
      </c>
      <c r="H29" s="2" t="inlineStr">
        <is>
          <t>25–44 (68%)</t>
        </is>
      </c>
      <c r="I29" s="2" t="inlineStr">
        <is>
          <t>Москва и МО 13%, Казань 11%, Екатеринбург 8%</t>
        </is>
      </c>
      <c r="J29" s="2" t="inlineStr">
        <is>
          <t>Мужчины-автомобилисты, следят за машиной. Пятна на сиденьях — их боль</t>
        </is>
      </c>
      <c r="K29" s="2" t="inlineStr">
        <is>
          <t>Чистый салон</t>
        </is>
      </c>
      <c r="L29" s="2">
        <f>LEN(K29)</f>
        <v/>
      </c>
      <c r="M29" s="2" t="inlineStr">
        <is>
          <t>Компактный моющий пылесос для авто</t>
        </is>
      </c>
      <c r="N29" s="2">
        <f>LEN(M29)</f>
        <v/>
      </c>
      <c r="O29" s="2" t="inlineStr"/>
    </row>
    <row r="30">
      <c r="A30" s="2" t="inlineStr">
        <is>
          <t>Компактный моющий пылесос</t>
        </is>
      </c>
      <c r="B30" s="2" t="inlineStr">
        <is>
          <t>VACCLCOMPACT</t>
        </is>
      </c>
      <c r="C30" s="2" t="inlineStr">
        <is>
          <t>Матрасы</t>
        </is>
      </c>
      <c r="D30" s="2" t="inlineStr">
        <is>
          <t>Ур. 2: Матрасы</t>
        </is>
      </c>
      <c r="E30" s="2" t="inlineStr">
        <is>
          <t>Аудитория</t>
        </is>
      </c>
      <c r="F30" s="3" t="n">
        <v>2745000</v>
      </c>
      <c r="G30" s="2" t="inlineStr">
        <is>
          <t>М 51% / Ж 49%</t>
        </is>
      </c>
      <c r="H30" s="2" t="inlineStr">
        <is>
          <t>25–44 (69%)</t>
        </is>
      </c>
      <c r="I30" s="2" t="inlineStr">
        <is>
          <t>Москва и МО 17%, Казань 10%, Екатеринбург 9%</t>
        </is>
      </c>
      <c r="J30" s="2" t="inlineStr">
        <is>
          <t>Купили новый матрас — хотят сохранить его чистым</t>
        </is>
      </c>
      <c r="K30" s="2" t="inlineStr">
        <is>
          <t>Чистый сон</t>
        </is>
      </c>
      <c r="L30" s="2">
        <f>LEN(K30)</f>
        <v/>
      </c>
      <c r="M30" s="2" t="inlineStr">
        <is>
          <t>Моющий пылесос для матраса и мебели</t>
        </is>
      </c>
      <c r="N30" s="2">
        <f>LEN(M30)</f>
        <v/>
      </c>
      <c r="O30" s="2" t="inlineStr"/>
    </row>
    <row r="31">
      <c r="A31" s="2" t="inlineStr">
        <is>
          <t>Компактный моющий пылесос</t>
        </is>
      </c>
      <c r="B31" s="2" t="inlineStr">
        <is>
          <t>VACCLCOMPACT</t>
        </is>
      </c>
      <c r="C31" s="2" t="inlineStr">
        <is>
          <t>Диваны и кресла</t>
        </is>
      </c>
      <c r="D31" s="2" t="inlineStr">
        <is>
          <t>Ур. 2: Диваны и кресла</t>
        </is>
      </c>
      <c r="E31" s="2" t="inlineStr">
        <is>
          <t>Аудитория</t>
        </is>
      </c>
      <c r="F31" s="3" t="n">
        <v>1211000</v>
      </c>
      <c r="G31" s="2" t="inlineStr">
        <is>
          <t>Ж 52% / М 48%</t>
        </is>
      </c>
      <c r="H31" s="2" t="inlineStr">
        <is>
          <t>25–44 (70%)</t>
        </is>
      </c>
      <c r="I31" s="2" t="inlineStr">
        <is>
          <t>Москва и МО 18%, Казань 10%, Екатеринбург 9%</t>
        </is>
      </c>
      <c r="J31" s="2" t="inlineStr">
        <is>
          <t>Купили новую мебель — боятся пятен. Платёжеспособные (чек 3–10 тыс. у 26%), много Москвы</t>
        </is>
      </c>
      <c r="K31" s="2" t="inlineStr">
        <is>
          <t>Диван без пятен</t>
        </is>
      </c>
      <c r="L31" s="2">
        <f>LEN(K31)</f>
        <v/>
      </c>
      <c r="M31" s="2" t="inlineStr">
        <is>
          <t>Моющий пылесос для обивки — как химчистка</t>
        </is>
      </c>
      <c r="N31" s="2">
        <f>LEN(M31)</f>
        <v/>
      </c>
      <c r="O31" s="2" t="inlineStr"/>
    </row>
    <row r="32">
      <c r="A32" s="2" t="inlineStr">
        <is>
          <t>Компактный моющий пылесос</t>
        </is>
      </c>
      <c r="B32" s="2" t="inlineStr">
        <is>
          <t>VACCLCOMPACT</t>
        </is>
      </c>
      <c r="C32" s="2" t="inlineStr">
        <is>
          <t>Набор автохимии</t>
        </is>
      </c>
      <c r="D32" s="2" t="inlineStr">
        <is>
          <t>Ур. 3: Набор автохимии</t>
        </is>
      </c>
      <c r="E32" s="2" t="inlineStr">
        <is>
          <t>Аудитория</t>
        </is>
      </c>
      <c r="F32" s="3" t="n">
        <v>257000</v>
      </c>
      <c r="G32" s="2" t="inlineStr">
        <is>
          <t>М 66% / Ж 34%</t>
        </is>
      </c>
      <c r="H32" s="2" t="inlineStr">
        <is>
          <t>18–34 (62%)</t>
        </is>
      </c>
      <c r="I32" s="2" t="inlineStr">
        <is>
          <t>Москва и МО 13%, Казань 11%, Краснодар 9%</t>
        </is>
      </c>
      <c r="J32" s="2" t="inlineStr">
        <is>
          <t>Сами ухаживают за машиной — пятна на сиденьях и коврах. Молодые мужчины</t>
        </is>
      </c>
      <c r="K32" s="2" t="inlineStr">
        <is>
          <t>Салон без пятен</t>
        </is>
      </c>
      <c r="L32" s="2">
        <f>LEN(K32)</f>
        <v/>
      </c>
      <c r="M32" s="2" t="inlineStr">
        <is>
          <t>Компактный моющий пылесос для салона</t>
        </is>
      </c>
      <c r="N32" s="2">
        <f>LEN(M32)</f>
        <v/>
      </c>
      <c r="O32" s="2" t="inlineStr"/>
    </row>
    <row r="33">
      <c r="A33" s="2" t="inlineStr">
        <is>
          <t>Аэрогрили</t>
        </is>
      </c>
      <c r="B33" s="2" t="inlineStr">
        <is>
          <t>AEROGRIL55L, AEROGRIL55L2, AEROGRIL2CHASHI</t>
        </is>
      </c>
      <c r="C33" s="2" t="inlineStr">
        <is>
          <t>Аксессуары для приготовления пищи</t>
        </is>
      </c>
      <c r="D33" s="2" t="inlineStr">
        <is>
          <t>Ур. 2: Аксессуары для приготовления пищи</t>
        </is>
      </c>
      <c r="E33" s="2" t="inlineStr">
        <is>
          <t>Размещение</t>
        </is>
      </c>
      <c r="F33" s="3" t="n">
        <v>24634000</v>
      </c>
      <c r="G33" s="2" t="inlineStr">
        <is>
          <t>М 60% / Ж 40%</t>
        </is>
      </c>
      <c r="H33" s="2" t="inlineStr">
        <is>
          <t>18–44 (82%)</t>
        </is>
      </c>
      <c r="I33" s="2" t="inlineStr">
        <is>
          <t>Москва и МО 11%, Казань 6%, Екатеринбург 5%</t>
        </is>
      </c>
      <c r="J33" s="2" t="inlineStr">
        <is>
          <t>Любят готовить, ищут новые идеи. Огромная (24,6 млн) и экономная — только узкий таргет</t>
        </is>
      </c>
      <c r="K33" s="2" t="inlineStr">
        <is>
          <t>Идеи для ужина</t>
        </is>
      </c>
      <c r="L33" s="2">
        <f>LEN(K33)</f>
        <v/>
      </c>
      <c r="M33" s="2" t="inlineStr">
        <is>
          <t>Один аэрогриль вместо духовки и фритюрницы</t>
        </is>
      </c>
      <c r="N33" s="2">
        <f>LEN(M33)</f>
        <v/>
      </c>
      <c r="O33" s="2" t="inlineStr"/>
    </row>
    <row r="34">
      <c r="A34" s="2" t="inlineStr">
        <is>
          <t>Аэрогрили</t>
        </is>
      </c>
      <c r="B34" s="2" t="inlineStr">
        <is>
          <t>AEROGRIL55L, AEROGRIL55L2, AEROGRIL2CHASHI</t>
        </is>
      </c>
      <c r="C34" s="2" t="inlineStr">
        <is>
          <t>Пакеты для продуктов</t>
        </is>
      </c>
      <c r="D34" s="2" t="inlineStr">
        <is>
          <t>Ур. 3: Пакет для продуктов</t>
        </is>
      </c>
      <c r="E34" s="2" t="inlineStr">
        <is>
          <t>Размещение</t>
        </is>
      </c>
      <c r="F34" s="3" t="n">
        <v>5853000</v>
      </c>
      <c r="G34" s="2" t="inlineStr">
        <is>
          <t>Ж 66% / М 34%</t>
        </is>
      </c>
      <c r="H34" s="2" t="inlineStr">
        <is>
          <t>25–44 (64%), больше всего 35–44</t>
        </is>
      </c>
      <c r="I34" s="2" t="inlineStr">
        <is>
          <t>Москва и МО 15%, Казань 10%, Краснодар 9%</t>
        </is>
      </c>
      <c r="J34" s="2" t="inlineStr">
        <is>
          <t>Практичные хозяйки, считают деньги — низкий приоритет</t>
        </is>
      </c>
      <c r="K34" s="2" t="inlineStr">
        <is>
          <t>Ужин готовит сам</t>
        </is>
      </c>
      <c r="L34" s="2">
        <f>LEN(K34)</f>
        <v/>
      </c>
      <c r="M34" s="2" t="inlineStr">
        <is>
          <t>Аэрогриль: ужин готов, пока вы заняты</t>
        </is>
      </c>
      <c r="N34" s="2">
        <f>LEN(M34)</f>
        <v/>
      </c>
      <c r="O34" s="2" t="inlineStr"/>
    </row>
    <row r="35">
      <c r="A35" s="2" t="inlineStr">
        <is>
          <t>Аэрогрили</t>
        </is>
      </c>
      <c r="B35" s="2" t="inlineStr">
        <is>
          <t>AEROGRIL55L, AEROGRIL55L2, AEROGRIL2CHASHI</t>
        </is>
      </c>
      <c r="C35" s="2" t="inlineStr">
        <is>
          <t>Формы для запекания</t>
        </is>
      </c>
      <c r="D35" s="2" t="inlineStr">
        <is>
          <t>Ур. 3: Форма для запекания, выпечки</t>
        </is>
      </c>
      <c r="E35" s="2" t="inlineStr">
        <is>
          <t>Размещение</t>
        </is>
      </c>
      <c r="F35" s="3" t="n">
        <v>5027000</v>
      </c>
      <c r="G35" s="2" t="inlineStr">
        <is>
          <t>Ж 64% / М 36%</t>
        </is>
      </c>
      <c r="H35" s="2" t="inlineStr">
        <is>
          <t>25–44 (62%)</t>
        </is>
      </c>
      <c r="I35" s="2" t="inlineStr">
        <is>
          <t>Москва и МО 15%, Казань 10%, Екатеринбург 8%</t>
        </is>
      </c>
      <c r="J35" s="2" t="inlineStr">
        <is>
          <t>Любят домашнюю выпечку и запеканки</t>
        </is>
      </c>
      <c r="K35" s="2" t="inlineStr">
        <is>
          <t>Выпечка дома</t>
        </is>
      </c>
      <c r="L35" s="2">
        <f>LEN(K35)</f>
        <v/>
      </c>
      <c r="M35" s="2" t="inlineStr">
        <is>
          <t>Выпечка в аэрогриле без духовки</t>
        </is>
      </c>
      <c r="N35" s="2">
        <f>LEN(M35)</f>
        <v/>
      </c>
      <c r="O35" s="2" t="inlineStr"/>
    </row>
    <row r="36">
      <c r="A36" s="2" t="inlineStr">
        <is>
          <t>Аэрогрили</t>
        </is>
      </c>
      <c r="B36" s="2" t="inlineStr">
        <is>
          <t>AEROGRIL55L, AEROGRIL55L2, AEROGRIL2CHASHI</t>
        </is>
      </c>
      <c r="C36" s="2" t="inlineStr">
        <is>
          <t>Вакуумные упаковщики</t>
        </is>
      </c>
      <c r="D36" s="2" t="inlineStr">
        <is>
          <t>Ур. 2: Вакуумные упаковщики
Ур. 3: Вакуумный упаковщик</t>
        </is>
      </c>
      <c r="E36" s="2" t="inlineStr">
        <is>
          <t>Размещение</t>
        </is>
      </c>
      <c r="F36" s="3" t="n">
        <v>1989000</v>
      </c>
      <c r="G36" s="2" t="inlineStr">
        <is>
          <t>Ж 51% / М 49%</t>
        </is>
      </c>
      <c r="H36" s="2" t="inlineStr">
        <is>
          <t>25–44 (67%)</t>
        </is>
      </c>
      <c r="I36" s="2" t="inlineStr">
        <is>
          <t>Москва и МО 12%, Казань 11%, Екатеринбург 9%</t>
        </is>
      </c>
      <c r="J36" s="2" t="inlineStr">
        <is>
          <t>Готовят дома, делают заготовки, любят кухонные гаджеты</t>
        </is>
      </c>
      <c r="K36" s="2" t="inlineStr">
        <is>
          <t>Кухня на автомате</t>
        </is>
      </c>
      <c r="L36" s="2">
        <f>LEN(K36)</f>
        <v/>
      </c>
      <c r="M36" s="2" t="inlineStr">
        <is>
          <t>Аэрогриль: ужин почти без масла</t>
        </is>
      </c>
      <c r="N36" s="2">
        <f>LEN(M36)</f>
        <v/>
      </c>
      <c r="O36" s="2" t="inlineStr"/>
    </row>
    <row r="37">
      <c r="A37" s="2" t="inlineStr">
        <is>
          <t>Аэрогрили</t>
        </is>
      </c>
      <c r="B37" s="2" t="inlineStr">
        <is>
          <t>AEROGRIL55L, AEROGRIL55L2, AEROGRIL2CHASHI</t>
        </is>
      </c>
      <c r="C37" s="2" t="inlineStr">
        <is>
          <t>Бумага для выпечки</t>
        </is>
      </c>
      <c r="D37" s="2" t="inlineStr">
        <is>
          <t>Ур. 3: Бумага пищевая</t>
        </is>
      </c>
      <c r="E37" s="2" t="inlineStr">
        <is>
          <t>Размещение</t>
        </is>
      </c>
      <c r="F37" s="3" t="n">
        <v>4103000</v>
      </c>
      <c r="G37" s="2" t="inlineStr">
        <is>
          <t>Ж 63% / М 37%</t>
        </is>
      </c>
      <c r="H37" s="2" t="inlineStr">
        <is>
          <t>25–54 (79%), больше всего 35–44</t>
        </is>
      </c>
      <c r="I37" s="2" t="inlineStr">
        <is>
          <t>Москва и МО 16%, Казань 10%, Екатеринбург 9%</t>
        </is>
      </c>
      <c r="J37" s="2" t="inlineStr">
        <is>
          <t>Уже запекают и пекут дома; бумагу часто берут именно для аэрогриля</t>
        </is>
      </c>
      <c r="K37" s="2" t="inlineStr">
        <is>
          <t>Ужин в аэрогриле</t>
        </is>
      </c>
      <c r="L37" s="2">
        <f>LEN(K37)</f>
        <v/>
      </c>
      <c r="M37" s="2" t="inlineStr">
        <is>
          <t>Хрустящая корочка почти без масла</t>
        </is>
      </c>
      <c r="N37" s="2">
        <f>LEN(M37)</f>
        <v/>
      </c>
      <c r="O37" s="2" t="inlineStr"/>
    </row>
    <row r="38">
      <c r="A38" s="2" t="inlineStr">
        <is>
          <t>Аэрогрили</t>
        </is>
      </c>
      <c r="B38" s="2" t="inlineStr">
        <is>
          <t>AEROGRIL55L, AEROGRIL55L2, AEROGRIL2CHASHI</t>
        </is>
      </c>
      <c r="C38" s="2" t="inlineStr">
        <is>
          <t>Детские товары</t>
        </is>
      </c>
      <c r="D38" s="2" t="inlineStr">
        <is>
          <t>Ур. 1: Детские товары</t>
        </is>
      </c>
      <c r="E38" s="2" t="inlineStr">
        <is>
          <t>Аудитория</t>
        </is>
      </c>
      <c r="F38" s="3" t="n">
        <v>24501000</v>
      </c>
      <c r="G38" s="2" t="inlineStr">
        <is>
          <t>Ж 52% / М 48%</t>
        </is>
      </c>
      <c r="H38" s="2" t="inlineStr">
        <is>
          <t>25–34 (39%)</t>
        </is>
      </c>
      <c r="I38" s="2" t="inlineStr">
        <is>
          <t>Москва и МО 15%, Казань 10%, Екатеринбург 8%</t>
        </is>
      </c>
      <c r="J38" s="2" t="inlineStr">
        <is>
          <t>Родители: что приготовить ребёнку быстро и полезно. Огромная аудитория (24,5 млн) — сужать: Ж 25–44</t>
        </is>
      </c>
      <c r="K38" s="2" t="inlineStr">
        <is>
          <t>Ужин для детей</t>
        </is>
      </c>
      <c r="L38" s="2">
        <f>LEN(K38)</f>
        <v/>
      </c>
      <c r="M38" s="2" t="inlineStr">
        <is>
          <t>Наггетсы и картошка почти без масла</t>
        </is>
      </c>
      <c r="N38" s="2">
        <f>LEN(M38)</f>
        <v/>
      </c>
      <c r="O38" s="2" t="inlineStr"/>
    </row>
    <row r="39">
      <c r="A39" s="2" t="inlineStr">
        <is>
          <t>Аэрогрили</t>
        </is>
      </c>
      <c r="B39" s="2" t="inlineStr">
        <is>
          <t>AEROGRIL55L, AEROGRIL55L2, AEROGRIL2CHASHI</t>
        </is>
      </c>
      <c r="C39" s="2" t="inlineStr">
        <is>
          <t>Игрушки</t>
        </is>
      </c>
      <c r="D39" s="2" t="inlineStr">
        <is>
          <t>Ур. 2: Игрушки</t>
        </is>
      </c>
      <c r="E39" s="2" t="inlineStr">
        <is>
          <t>Аудитория</t>
        </is>
      </c>
      <c r="F39" s="3" t="n">
        <v>18454000</v>
      </c>
      <c r="G39" s="2" t="inlineStr">
        <is>
          <t>М 60% / Ж 40%</t>
        </is>
      </c>
      <c r="H39" s="2" t="inlineStr">
        <is>
          <t>18–44 (83%)</t>
        </is>
      </c>
      <c r="I39" s="2" t="inlineStr">
        <is>
          <t>Москва и МО 12%, Казань 7%, Краснодар 6%</t>
        </is>
      </c>
      <c r="J39" s="2" t="inlineStr">
        <is>
          <t>Родители, покупают подарки к праздникам. Работает перед Новым годом и 8 Марта</t>
        </is>
      </c>
      <c r="K39" s="2" t="inlineStr">
        <is>
          <t>Подарок для дома</t>
        </is>
      </c>
      <c r="L39" s="2">
        <f>LEN(K39)</f>
        <v/>
      </c>
      <c r="M39" s="2" t="inlineStr">
        <is>
          <t>Полезная техника в подарок всей семье</t>
        </is>
      </c>
      <c r="N39" s="2">
        <f>LEN(M39)</f>
        <v/>
      </c>
      <c r="O39" s="2" t="inlineStr"/>
    </row>
    <row r="40">
      <c r="A40" s="2" t="inlineStr">
        <is>
          <t>Аэрогрили</t>
        </is>
      </c>
      <c r="B40" s="2" t="inlineStr">
        <is>
          <t>AEROGRIL55L, AEROGRIL55L2, AEROGRIL2CHASHI</t>
        </is>
      </c>
      <c r="C40" s="2" t="inlineStr">
        <is>
          <t>Фитнес и йога</t>
        </is>
      </c>
      <c r="D40" s="2" t="inlineStr">
        <is>
          <t>Ур. 2: Фитнес и йога</t>
        </is>
      </c>
      <c r="E40" s="2" t="inlineStr">
        <is>
          <t>Аудитория</t>
        </is>
      </c>
      <c r="F40" s="3" t="n">
        <v>7829000</v>
      </c>
      <c r="G40" s="2" t="inlineStr">
        <is>
          <t>М 71% / Ж 29% (данные нетипичны)</t>
        </is>
      </c>
      <c r="H40" s="2" t="inlineStr">
        <is>
          <t>25–34 (36%)</t>
        </is>
      </c>
      <c r="I40" s="2" t="inlineStr">
        <is>
          <t>Москва и МО 33%, Казань 17%, Екатеринбург 15%</t>
        </is>
      </c>
      <c r="J40" s="2" t="inlineStr">
        <is>
          <t>ЗОЖ: правильное питание и тонус. Пол определён у 100% — данные нетипичны, пол лучше не фильтровать</t>
        </is>
      </c>
      <c r="K40" s="2" t="inlineStr">
        <is>
          <t>ПП без скуки</t>
        </is>
      </c>
      <c r="L40" s="2">
        <f>LEN(K40)</f>
        <v/>
      </c>
      <c r="M40" s="2" t="inlineStr">
        <is>
          <t>Аэрогриль: сочное мясо почти без масла</t>
        </is>
      </c>
      <c r="N40" s="2">
        <f>LEN(M40)</f>
        <v/>
      </c>
      <c r="O40" s="2" t="inlineStr"/>
    </row>
    <row r="41">
      <c r="A41" s="2" t="inlineStr">
        <is>
          <t>Аэрогрили</t>
        </is>
      </c>
      <c r="B41" s="2" t="inlineStr">
        <is>
          <t>AEROGRIL55L, AEROGRIL55L2, AEROGRIL2CHASHI</t>
        </is>
      </c>
      <c r="C41" s="2" t="inlineStr">
        <is>
          <t>Садовый декор и теплицы</t>
        </is>
      </c>
      <c r="D41" s="2" t="inlineStr">
        <is>
          <t>Ур. 2: Садовый декор и теплицы</t>
        </is>
      </c>
      <c r="E41" s="2" t="inlineStr">
        <is>
          <t>Аудитория</t>
        </is>
      </c>
      <c r="F41" s="3" t="n">
        <v>7581000</v>
      </c>
      <c r="G41" s="2" t="inlineStr">
        <is>
          <t>М 67% / Ж 33% (данные нетипичны)</t>
        </is>
      </c>
      <c r="H41" s="2" t="inlineStr">
        <is>
          <t>18–44 (84%)</t>
        </is>
      </c>
      <c r="I41" s="2" t="inlineStr">
        <is>
          <t>Москва и МО 25%, Казань 13%, Екатеринбург 11%</t>
        </is>
      </c>
      <c r="J41" s="2" t="inlineStr">
        <is>
          <t>Дачники: на даче нет духовки. Внимание: пол определён у 100% — данные Ozon нетипичны, пол лучше не фильтровать</t>
        </is>
      </c>
      <c r="K41" s="2" t="inlineStr">
        <is>
          <t>Готовим на даче</t>
        </is>
      </c>
      <c r="L41" s="2">
        <f>LEN(K41)</f>
        <v/>
      </c>
      <c r="M41" s="2" t="inlineStr">
        <is>
          <t>Аэрогриль вместо духовки и плиты на даче</t>
        </is>
      </c>
      <c r="N41" s="2">
        <f>LEN(M41)</f>
        <v/>
      </c>
      <c r="O41" s="2" t="inlineStr"/>
    </row>
    <row r="42">
      <c r="A42" s="2" t="inlineStr">
        <is>
          <t>Аэрогрили</t>
        </is>
      </c>
      <c r="B42" s="2" t="inlineStr">
        <is>
          <t>AEROGRIL55L, AEROGRIL55L2, AEROGRIL2CHASHI</t>
        </is>
      </c>
      <c r="C42" s="2" t="inlineStr">
        <is>
          <t>Ножи кухонные</t>
        </is>
      </c>
      <c r="D42" s="2" t="inlineStr">
        <is>
          <t>Ур. 2: Ножи кухонные</t>
        </is>
      </c>
      <c r="E42" s="2" t="inlineStr">
        <is>
          <t>Аудитория</t>
        </is>
      </c>
      <c r="F42" s="3" t="n">
        <v>4042000</v>
      </c>
      <c r="G42" s="2" t="inlineStr">
        <is>
          <t>М 62% / Ж 38%</t>
        </is>
      </c>
      <c r="H42" s="2" t="inlineStr">
        <is>
          <t>25–44 (63%), больше всего 35–44</t>
        </is>
      </c>
      <c r="I42" s="2" t="inlineStr">
        <is>
          <t>Москва и МО 14%, Казань 9%, Краснодар 8%</t>
        </is>
      </c>
      <c r="J42" s="2" t="inlineStr">
        <is>
          <t>Любят готовить, ценят хороший кухонный инструмент. Больше мужчин</t>
        </is>
      </c>
      <c r="K42" s="2" t="inlineStr">
        <is>
          <t>Готовить в радость</t>
        </is>
      </c>
      <c r="L42" s="2">
        <f>LEN(K42)</f>
        <v/>
      </c>
      <c r="M42" s="2" t="inlineStr">
        <is>
          <t>Аэрогриль для домашних ужинов</t>
        </is>
      </c>
      <c r="N42" s="2">
        <f>LEN(M42)</f>
        <v/>
      </c>
      <c r="O42" s="2" t="inlineStr"/>
    </row>
    <row r="43">
      <c r="A43" s="2" t="inlineStr">
        <is>
          <t>Аэрогрили</t>
        </is>
      </c>
      <c r="B43" s="2" t="inlineStr">
        <is>
          <t>AEROGRIL55L, AEROGRIL55L2, AEROGRIL2CHASHI</t>
        </is>
      </c>
      <c r="C43" s="2" t="inlineStr">
        <is>
          <t>Садовый электроинструмент</t>
        </is>
      </c>
      <c r="D43" s="2" t="inlineStr">
        <is>
          <t>Ур. 2: Садовый электроинструмент
Ур. 3: Триммер садовый, Воздуходувка</t>
        </is>
      </c>
      <c r="E43" s="2" t="inlineStr">
        <is>
          <t>Аудитория</t>
        </is>
      </c>
      <c r="F43" s="3" t="n">
        <v>3721000</v>
      </c>
      <c r="G43" s="2" t="inlineStr">
        <is>
          <t>М 63% / Ж 37%</t>
        </is>
      </c>
      <c r="H43" s="2" t="inlineStr">
        <is>
          <t>35–54 (57%) — самая взрослая</t>
        </is>
      </c>
      <c r="I43" s="2" t="inlineStr">
        <is>
          <t>Москва и МО 13%, Казань 11%, Екатеринбург 9%</t>
        </is>
      </c>
      <c r="J43" s="2" t="inlineStr">
        <is>
          <t>Дачники, свой дом за городом. Сезон весна–лето. На даче нет духовки — нужна техника, которая её заменит</t>
        </is>
      </c>
      <c r="K43" s="2" t="inlineStr">
        <is>
          <t>Для дома и дачи</t>
        </is>
      </c>
      <c r="L43" s="2">
        <f>LEN(K43)</f>
        <v/>
      </c>
      <c r="M43" s="2" t="inlineStr">
        <is>
          <t>Аэрогриль заменит духовку за городом</t>
        </is>
      </c>
      <c r="N43" s="2">
        <f>LEN(M43)</f>
        <v/>
      </c>
      <c r="O43" s="2" t="inlineStr"/>
    </row>
    <row r="44">
      <c r="A44" s="2" t="inlineStr">
        <is>
          <t>Виброплатформы</t>
        </is>
      </c>
      <c r="B44" s="2" t="inlineStr">
        <is>
          <t>VIPLATB, VIPLATB2, VIPLATEL2D</t>
        </is>
      </c>
      <c r="C44" s="2" t="inlineStr">
        <is>
          <t>БАДы и витамины</t>
        </is>
      </c>
      <c r="D44" s="2" t="inlineStr">
        <is>
          <t>Ур. 2: БАДы и витамины
Ур. 3: Пищевая добавка</t>
        </is>
      </c>
      <c r="E44" s="2" t="inlineStr">
        <is>
          <t>Размещение</t>
        </is>
      </c>
      <c r="F44" s="3" t="n">
        <v>16045000</v>
      </c>
      <c r="G44" s="2" t="inlineStr">
        <is>
          <t>Ж 53% / М 47%</t>
        </is>
      </c>
      <c r="H44" s="2" t="inlineStr">
        <is>
          <t>25–44 (65%)</t>
        </is>
      </c>
      <c r="I44" s="2" t="inlineStr">
        <is>
          <t>Москва и МО 16%, Казань 9%, Краснодар 8%</t>
        </is>
      </c>
      <c r="J44" s="2" t="inlineStr">
        <is>
          <t>Следят за здоровьем, ЗОЖ. Нет времени на зал</t>
        </is>
      </c>
      <c r="K44" s="2" t="inlineStr">
        <is>
          <t>Здоровье дома</t>
        </is>
      </c>
      <c r="L44" s="2">
        <f>LEN(K44)</f>
        <v/>
      </c>
      <c r="M44" s="2" t="inlineStr">
        <is>
          <t>Виброплатформа для активности без зала</t>
        </is>
      </c>
      <c r="N44" s="2">
        <f>LEN(M44)</f>
        <v/>
      </c>
      <c r="O44" s="2" t="inlineStr"/>
    </row>
    <row r="45">
      <c r="A45" s="2" t="inlineStr">
        <is>
          <t>Виброплатформы</t>
        </is>
      </c>
      <c r="B45" s="2" t="inlineStr">
        <is>
          <t>VIPLATB, VIPLATB2, VIPLATEL2D</t>
        </is>
      </c>
      <c r="C45" s="2" t="inlineStr">
        <is>
          <t>Снеки, суперфуды</t>
        </is>
      </c>
      <c r="D45" s="2" t="inlineStr">
        <is>
          <t>Ур. 2: Сухие завтраки, снэки, суперфудс</t>
        </is>
      </c>
      <c r="E45" s="2" t="inlineStr">
        <is>
          <t>Размещение</t>
        </is>
      </c>
      <c r="F45" s="3" t="n">
        <v>14463000</v>
      </c>
      <c r="G45" s="2" t="inlineStr">
        <is>
          <t>М 52% / Ж 48%</t>
        </is>
      </c>
      <c r="H45" s="2" t="inlineStr">
        <is>
          <t>25–44 (63%)</t>
        </is>
      </c>
      <c r="I45" s="2" t="inlineStr">
        <is>
          <t>Москва и МО 20%, Казань 10%, Краснодар 8%</t>
        </is>
      </c>
      <c r="J45" s="2" t="inlineStr">
        <is>
          <t>ЗОЖ-питание, много Москвы — как у ваших покупателей тренажёров</t>
        </is>
      </c>
      <c r="K45" s="2" t="inlineStr">
        <is>
          <t>Форма без зала</t>
        </is>
      </c>
      <c r="L45" s="2">
        <f>LEN(K45)</f>
        <v/>
      </c>
      <c r="M45" s="2" t="inlineStr">
        <is>
          <t>Тренировки дома в удобное время</t>
        </is>
      </c>
      <c r="N45" s="2">
        <f>LEN(M45)</f>
        <v/>
      </c>
      <c r="O45" s="2" t="inlineStr"/>
    </row>
    <row r="46">
      <c r="A46" s="2" t="inlineStr">
        <is>
          <t>Виброплатформы</t>
        </is>
      </c>
      <c r="B46" s="2" t="inlineStr">
        <is>
          <t>VIPLATB, VIPLATB2, VIPLATEL2D</t>
        </is>
      </c>
      <c r="C46" s="2" t="inlineStr">
        <is>
          <t>Легинсы</t>
        </is>
      </c>
      <c r="D46" s="2" t="inlineStr">
        <is>
          <t>Ур. 3: Легинсы</t>
        </is>
      </c>
      <c r="E46" s="2" t="inlineStr">
        <is>
          <t>Размещение</t>
        </is>
      </c>
      <c r="F46" s="3" t="n">
        <v>5242000</v>
      </c>
      <c r="G46" s="2" t="inlineStr">
        <is>
          <t>Ж 72% / М 28%</t>
        </is>
      </c>
      <c r="H46" s="2" t="inlineStr">
        <is>
          <t>25–34 (40%)</t>
        </is>
      </c>
      <c r="I46" s="2" t="inlineStr">
        <is>
          <t>Москва и МО 12%, Казань 10%, Екатеринбург 9%</t>
        </is>
      </c>
      <c r="J46" s="2" t="inlineStr">
        <is>
          <t>Тренируются и хотят результат без похода в зал</t>
        </is>
      </c>
      <c r="K46" s="2" t="inlineStr">
        <is>
          <t>Фитнес дома</t>
        </is>
      </c>
      <c r="L46" s="2">
        <f>LEN(K46)</f>
        <v/>
      </c>
      <c r="M46" s="2" t="inlineStr">
        <is>
          <t>Тренировка дома, когда удобно вам</t>
        </is>
      </c>
      <c r="N46" s="2">
        <f>LEN(M46)</f>
        <v/>
      </c>
      <c r="O46" s="2" t="inlineStr"/>
    </row>
    <row r="47">
      <c r="A47" s="2" t="inlineStr">
        <is>
          <t>Виброплатформы</t>
        </is>
      </c>
      <c r="B47" s="2" t="inlineStr">
        <is>
          <t>VIPLATB, VIPLATB2, VIPLATEL2D</t>
        </is>
      </c>
      <c r="C47" s="2" t="inlineStr">
        <is>
          <t>Массажёры электрические</t>
        </is>
      </c>
      <c r="D47" s="2" t="inlineStr">
        <is>
          <t>Ур. 3: Массажер электрический</t>
        </is>
      </c>
      <c r="E47" s="2" t="inlineStr">
        <is>
          <t>Размещение</t>
        </is>
      </c>
      <c r="F47" s="3" t="n">
        <v>3596000</v>
      </c>
      <c r="G47" s="2" t="inlineStr">
        <is>
          <t>Ж 53% / М 47%</t>
        </is>
      </c>
      <c r="H47" s="2" t="inlineStr">
        <is>
          <t>25–44 (66%)</t>
        </is>
      </c>
      <c r="I47" s="2" t="inlineStr">
        <is>
          <t>Москва и МО 13%, Казань 10%, Екатеринбург 9%</t>
        </is>
      </c>
      <c r="J47" s="2" t="inlineStr">
        <is>
          <t>Заботятся о теле, ищут расслабление и восстановление</t>
        </is>
      </c>
      <c r="K47" s="2" t="inlineStr">
        <is>
          <t>Тонус каждый день</t>
        </is>
      </c>
      <c r="L47" s="2">
        <f>LEN(K47)</f>
        <v/>
      </c>
      <c r="M47" s="2" t="inlineStr">
        <is>
          <t>Виброплатформа для тонуса и расслабления</t>
        </is>
      </c>
      <c r="N47" s="2">
        <f>LEN(M47)</f>
        <v/>
      </c>
      <c r="O47" s="2" t="inlineStr"/>
    </row>
    <row r="48">
      <c r="A48" s="2" t="inlineStr">
        <is>
          <t>Виброплатформы</t>
        </is>
      </c>
      <c r="B48" s="2" t="inlineStr">
        <is>
          <t>VIPLATB, VIPLATB2, VIPLATEL2D</t>
        </is>
      </c>
      <c r="C48" s="2" t="inlineStr">
        <is>
          <t>Игрушки</t>
        </is>
      </c>
      <c r="D48" s="2" t="inlineStr">
        <is>
          <t>Ур. 2: Игрушки</t>
        </is>
      </c>
      <c r="E48" s="2" t="inlineStr">
        <is>
          <t>Аудитория</t>
        </is>
      </c>
      <c r="F48" s="3" t="n">
        <v>18454000</v>
      </c>
      <c r="G48" s="2" t="inlineStr">
        <is>
          <t>М 60% / Ж 40%</t>
        </is>
      </c>
      <c r="H48" s="2" t="inlineStr">
        <is>
          <t>18–44 (83%)</t>
        </is>
      </c>
      <c r="I48" s="2" t="inlineStr">
        <is>
          <t>Москва и МО 12%, Казань 7%, Краснодар 6%</t>
        </is>
      </c>
      <c r="J48" s="2" t="inlineStr">
        <is>
          <t>Родители, покупают подарки к праздникам. Работает перед Новым годом и 8 Марта</t>
        </is>
      </c>
      <c r="K48" s="2" t="inlineStr">
        <is>
          <t>Подарок для дома</t>
        </is>
      </c>
      <c r="L48" s="2">
        <f>LEN(K48)</f>
        <v/>
      </c>
      <c r="M48" s="2" t="inlineStr">
        <is>
          <t>Полезная техника в подарок всей семье</t>
        </is>
      </c>
      <c r="N48" s="2">
        <f>LEN(M48)</f>
        <v/>
      </c>
      <c r="O48" s="2" t="inlineStr"/>
    </row>
    <row r="49">
      <c r="A49" s="2" t="inlineStr">
        <is>
          <t>Виброплатформы</t>
        </is>
      </c>
      <c r="B49" s="2" t="inlineStr">
        <is>
          <t>VIPLATB, VIPLATB2, VIPLATEL2D</t>
        </is>
      </c>
      <c r="C49" s="2" t="inlineStr">
        <is>
          <t>Фитнес и йога</t>
        </is>
      </c>
      <c r="D49" s="2" t="inlineStr">
        <is>
          <t>Ур. 2: Фитнес и йога</t>
        </is>
      </c>
      <c r="E49" s="2" t="inlineStr">
        <is>
          <t>Аудитория</t>
        </is>
      </c>
      <c r="F49" s="3" t="n">
        <v>7829000</v>
      </c>
      <c r="G49" s="2" t="inlineStr">
        <is>
          <t>М 71% / Ж 29% (данные нетипичны)</t>
        </is>
      </c>
      <c r="H49" s="2" t="inlineStr">
        <is>
          <t>25–34 (36%)</t>
        </is>
      </c>
      <c r="I49" s="2" t="inlineStr">
        <is>
          <t>Москва и МО 33%, Казань 17%, Екатеринбург 15%</t>
        </is>
      </c>
      <c r="J49" s="2" t="inlineStr">
        <is>
          <t>ЗОЖ: правильное питание и тонус. Пол определён у 100% — данные нетипичны, пол лучше не фильтровать</t>
        </is>
      </c>
      <c r="K49" s="2" t="inlineStr">
        <is>
          <t>Фитнес дома</t>
        </is>
      </c>
      <c r="L49" s="2">
        <f>LEN(K49)</f>
        <v/>
      </c>
      <c r="M49" s="2" t="inlineStr">
        <is>
          <t>Виброплатформа для тренировок дома</t>
        </is>
      </c>
      <c r="N49" s="2">
        <f>LEN(M49)</f>
        <v/>
      </c>
      <c r="O49" s="2" t="inlineStr"/>
    </row>
    <row r="50">
      <c r="A50" s="2" t="inlineStr">
        <is>
          <t>Виброплатформы</t>
        </is>
      </c>
      <c r="B50" s="2" t="inlineStr">
        <is>
          <t>VIPLATB, VIPLATB2, VIPLATEL2D</t>
        </is>
      </c>
      <c r="C50" s="2" t="inlineStr">
        <is>
          <t>Спортивное питание</t>
        </is>
      </c>
      <c r="D50" s="2" t="inlineStr">
        <is>
          <t>Ур. 2: Спортивное питание</t>
        </is>
      </c>
      <c r="E50" s="2" t="inlineStr">
        <is>
          <t>Аудитория</t>
        </is>
      </c>
      <c r="F50" s="3" t="n">
        <v>5861000</v>
      </c>
      <c r="G50" s="2" t="inlineStr">
        <is>
          <t>М 69% / Ж 31% (данные нетипичны)</t>
        </is>
      </c>
      <c r="H50" s="2" t="inlineStr">
        <is>
          <t>25–34 (38%)</t>
        </is>
      </c>
      <c r="I50" s="2" t="inlineStr">
        <is>
          <t>Москва и МО 23%, Казань 11%, Екатеринбург 9%</t>
        </is>
      </c>
      <c r="J50" s="2" t="inlineStr">
        <is>
          <t>Следят за формой, тренируются. Пол определён у 100% — данные нетипичны; для виброплатформы сужать на Ж 25–44</t>
        </is>
      </c>
      <c r="K50" s="2" t="inlineStr">
        <is>
          <t>Плюс к тренировкам</t>
        </is>
      </c>
      <c r="L50" s="2">
        <f>LEN(K50)</f>
        <v/>
      </c>
      <c r="M50" s="2" t="inlineStr">
        <is>
          <t>Виброплатформа: тонус мышц дома</t>
        </is>
      </c>
      <c r="N50" s="2">
        <f>LEN(M50)</f>
        <v/>
      </c>
      <c r="O50" s="2" t="inlineStr"/>
    </row>
    <row r="51">
      <c r="A51" s="2" t="inlineStr">
        <is>
          <t>Виброплатформы</t>
        </is>
      </c>
      <c r="B51" s="2" t="inlineStr">
        <is>
          <t>VIPLATB, VIPLATB2, VIPLATEL2D</t>
        </is>
      </c>
      <c r="C51" s="2" t="inlineStr">
        <is>
          <t>Фитнес-резинки</t>
        </is>
      </c>
      <c r="D51" s="2" t="inlineStr">
        <is>
          <t>Ур. 3: Фитнес-резинка</t>
        </is>
      </c>
      <c r="E51" s="2" t="inlineStr">
        <is>
          <t>Аудитория</t>
        </is>
      </c>
      <c r="F51" s="3" t="n">
        <v>1800000</v>
      </c>
      <c r="G51" s="2" t="inlineStr">
        <is>
          <t>М 51% / Ж 49%</t>
        </is>
      </c>
      <c r="H51" s="2" t="inlineStr">
        <is>
          <t>25–44 (68%)</t>
        </is>
      </c>
      <c r="I51" s="2" t="inlineStr">
        <is>
          <t>Москва и МО 16%, Казань 10%, Екатеринбург 9%</t>
        </is>
      </c>
      <c r="J51" s="2" t="inlineStr">
        <is>
          <t>Уже тренируются дома — дополнить домашний фитнес-комплект</t>
        </is>
      </c>
      <c r="K51" s="2" t="inlineStr">
        <is>
          <t>Домашний фитнес</t>
        </is>
      </c>
      <c r="L51" s="2">
        <f>LEN(K51)</f>
        <v/>
      </c>
      <c r="M51" s="2" t="inlineStr">
        <is>
          <t>Резинки + виброплатформа — весь комплект</t>
        </is>
      </c>
      <c r="N51" s="2">
        <f>LEN(M51)</f>
        <v/>
      </c>
      <c r="O51" s="2" t="inlineStr"/>
    </row>
    <row r="52">
      <c r="A52" s="2" t="inlineStr">
        <is>
          <t>Виброплатформы</t>
        </is>
      </c>
      <c r="B52" s="2" t="inlineStr">
        <is>
          <t>VIPLATB, VIPLATB2, VIPLATEL2D</t>
        </is>
      </c>
      <c r="C52" s="2" t="inlineStr">
        <is>
          <t>Напольные весы</t>
        </is>
      </c>
      <c r="D52" s="2" t="inlineStr">
        <is>
          <t>Ур. 3: Напольные весы</t>
        </is>
      </c>
      <c r="E52" s="2" t="inlineStr">
        <is>
          <t>Аудитория</t>
        </is>
      </c>
      <c r="F52" s="3" t="n">
        <v>1306000</v>
      </c>
      <c r="G52" s="2" t="inlineStr">
        <is>
          <t>М 54% / Ж 46%</t>
        </is>
      </c>
      <c r="H52" s="2" t="inlineStr">
        <is>
          <t>18–34 (56%)</t>
        </is>
      </c>
      <c r="I52" s="2" t="inlineStr">
        <is>
          <t>Москва и МО 15%, Казань 10%, Екатеринбург 8%</t>
        </is>
      </c>
      <c r="J52" s="2" t="inlineStr">
        <is>
          <t>Следят за весом и хотят двигаться больше, но без зала</t>
        </is>
      </c>
      <c r="K52" s="2" t="inlineStr">
        <is>
          <t>Минус на весах</t>
        </is>
      </c>
      <c r="L52" s="2">
        <f>LEN(K52)</f>
        <v/>
      </c>
      <c r="M52" s="2" t="inlineStr">
        <is>
          <t>Домашняя тренировка без похода в зал</t>
        </is>
      </c>
      <c r="N52" s="2">
        <f>LEN(M52)</f>
        <v/>
      </c>
      <c r="O52" s="2" t="inlineStr"/>
    </row>
    <row r="53">
      <c r="A53" s="2" t="inlineStr">
        <is>
          <t>Виброплатформы</t>
        </is>
      </c>
      <c r="B53" s="2" t="inlineStr">
        <is>
          <t>VIPLATB, VIPLATB2, VIPLATEL2D</t>
        </is>
      </c>
      <c r="C53" s="2" t="inlineStr">
        <is>
          <t>Средство антицеллюлитное</t>
        </is>
      </c>
      <c r="D53" s="2" t="inlineStr">
        <is>
          <t>Ур. 3: Средство антицеллюлитное</t>
        </is>
      </c>
      <c r="E53" s="2" t="inlineStr">
        <is>
          <t>Аудитория</t>
        </is>
      </c>
      <c r="F53" s="3" t="n">
        <v>754000</v>
      </c>
      <c r="G53" s="2" t="inlineStr">
        <is>
          <t>Ж 71% / М 29%</t>
        </is>
      </c>
      <c r="H53" s="2" t="inlineStr">
        <is>
          <t>25–44 (67%)</t>
        </is>
      </c>
      <c r="I53" s="2" t="inlineStr">
        <is>
          <t>Москва и МО 13%, Казань 9%, Екатеринбург 8%</t>
        </is>
      </c>
      <c r="J53" s="2" t="inlineStr">
        <is>
          <t>Работают над телом «снаружи» — предложить домашнюю тренировку. Без медицинских обещаний</t>
        </is>
      </c>
      <c r="K53" s="2" t="inlineStr">
        <is>
          <t>Тело в тонусе</t>
        </is>
      </c>
      <c r="L53" s="2">
        <f>LEN(K53)</f>
        <v/>
      </c>
      <c r="M53" s="2" t="inlineStr">
        <is>
          <t>Виброплатформа для тонуса и упругости</t>
        </is>
      </c>
      <c r="N53" s="2">
        <f>LEN(M53)</f>
        <v/>
      </c>
      <c r="O53" s="2" t="inlineStr">
        <is>
          <t>«Упругость» близко к обещанию результата для тела — лучше «для тонуса»</t>
        </is>
      </c>
    </row>
    <row r="54">
      <c r="A54" s="2" t="inlineStr">
        <is>
          <t>Виброплатформы</t>
        </is>
      </c>
      <c r="B54" s="2" t="inlineStr">
        <is>
          <t>VIPLATB, VIPLATB2, VIPLATEL2D</t>
        </is>
      </c>
      <c r="C54" s="2" t="inlineStr">
        <is>
          <t>Пояса и костюмы-сауны для похудения</t>
        </is>
      </c>
      <c r="D54" s="2" t="inlineStr">
        <is>
          <t>Ур. 3: Пояс для похудения, Костюм-сауна для похудения, Система для термопохудения</t>
        </is>
      </c>
      <c r="E54" s="2" t="inlineStr">
        <is>
          <t>Аудитория</t>
        </is>
      </c>
      <c r="F54" s="3" t="n">
        <v>390000</v>
      </c>
      <c r="G54" s="2" t="inlineStr">
        <is>
          <t>Ж 54% / М 46%</t>
        </is>
      </c>
      <c r="H54" s="2" t="inlineStr">
        <is>
          <t>25–44 (68%), больше всего 35–44</t>
        </is>
      </c>
      <c r="I54" s="2" t="inlineStr">
        <is>
          <t>Москва и МО 11%, Казань 8%, Екатеринбург 8%</t>
        </is>
      </c>
      <c r="J54" s="2" t="inlineStr">
        <is>
          <t>Хотят изменить фигуру дома, без зала. Экономные. Без обещаний похудения — только про тренировки и тонус</t>
        </is>
      </c>
      <c r="K54" s="2" t="inlineStr">
        <is>
          <t>Ближе к цели</t>
        </is>
      </c>
      <c r="L54" s="2">
        <f>LEN(K54)</f>
        <v/>
      </c>
      <c r="M54" s="2" t="inlineStr">
        <is>
          <t>Виброплатформа для тренировок дома</t>
        </is>
      </c>
      <c r="N54" s="2">
        <f>LEN(M54)</f>
        <v/>
      </c>
      <c r="O54" s="2" t="inlineStr"/>
    </row>
    <row r="55">
      <c r="A55" s="2" t="inlineStr">
        <is>
          <t>Виброплатформы</t>
        </is>
      </c>
      <c r="B55" s="2" t="inlineStr">
        <is>
          <t>VIPLATB, VIPLATB2, VIPLATEL2D</t>
        </is>
      </c>
      <c r="C55" s="2" t="inlineStr">
        <is>
          <t>Велотренажёры и беговые дорожки</t>
        </is>
      </c>
      <c r="D55" s="2" t="inlineStr">
        <is>
          <t>Ур. 3: Велотренажер, Беговая дорожка</t>
        </is>
      </c>
      <c r="E55" s="2" t="inlineStr">
        <is>
          <t>Аудитория</t>
        </is>
      </c>
      <c r="F55" s="3" t="n">
        <v>333000</v>
      </c>
      <c r="G55" s="2" t="inlineStr">
        <is>
          <t>М 56% / Ж 44%</t>
        </is>
      </c>
      <c r="H55" s="2" t="inlineStr">
        <is>
          <t>25–34 (40%)</t>
        </is>
      </c>
      <c r="I55" s="2" t="inlineStr">
        <is>
          <t>Москва и МО 15%, Казань 11%, Екатеринбург 10%</t>
        </is>
      </c>
      <c r="J55" s="2" t="inlineStr">
        <is>
          <t>Уже тренируются дома и платёжеспособные (чек 3–10 тыс. у 25%)</t>
        </is>
      </c>
      <c r="K55" s="2" t="inlineStr">
        <is>
          <t>Дополни тренажёр</t>
        </is>
      </c>
      <c r="L55" s="2">
        <f>LEN(K55)</f>
        <v/>
      </c>
      <c r="M55" s="2" t="inlineStr">
        <is>
          <t>Виброплатформа: разминка и восстановление</t>
        </is>
      </c>
      <c r="N55" s="2">
        <f>LEN(M55)</f>
        <v/>
      </c>
      <c r="O55" s="2" t="inlineStr"/>
    </row>
    <row r="56">
      <c r="A56" s="2" t="inlineStr">
        <is>
          <t>Виброплатформы</t>
        </is>
      </c>
      <c r="B56" s="2" t="inlineStr">
        <is>
          <t>VIPLATB, VIPLATB2, VIPLATEL2D</t>
        </is>
      </c>
      <c r="C56" s="2" t="inlineStr">
        <is>
          <t>Косметика (уход, волосы)</t>
        </is>
      </c>
      <c r="D56" s="2" t="inlineStr">
        <is>
          <t>Ур. 2: Косметика для ухода, Косметика для ухода за волосами</t>
        </is>
      </c>
      <c r="E56" s="2" t="inlineStr">
        <is>
          <t>Аудитория</t>
        </is>
      </c>
      <c r="F56" s="2" t="inlineStr">
        <is>
          <t>24,7–27,2 млн</t>
        </is>
      </c>
      <c r="G56" s="2" t="inlineStr">
        <is>
          <t>Ж 61% / М 39%</t>
        </is>
      </c>
      <c r="H56" s="2" t="inlineStr">
        <is>
          <t>25–44 (63%)</t>
        </is>
      </c>
      <c r="I56" s="2" t="inlineStr">
        <is>
          <t>Москва и МО 15%, Казань 10%, Екатеринбург 8%</t>
        </is>
      </c>
      <c r="J56" s="2" t="inlineStr">
        <is>
          <t>Огромная женская аудитория «забота о себе». Экономные — только узкий таргет</t>
        </is>
      </c>
      <c r="K56" s="2" t="inlineStr">
        <is>
          <t>Время для себя</t>
        </is>
      </c>
      <c r="L56" s="2">
        <f>LEN(K56)</f>
        <v/>
      </c>
      <c r="M56" s="2" t="inlineStr">
        <is>
          <t>Виброплатформа для тонуса тела дома</t>
        </is>
      </c>
      <c r="N56" s="2">
        <f>LEN(M56)</f>
        <v/>
      </c>
      <c r="O56" s="2" t="inlineStr"/>
    </row>
    <row r="57">
      <c r="A57" s="2" t="inlineStr">
        <is>
          <t>Кофемашина</t>
        </is>
      </c>
      <c r="B57" s="2" t="inlineStr">
        <is>
          <t>COFMASHCAP4V1</t>
        </is>
      </c>
      <c r="C57" s="2" t="inlineStr">
        <is>
          <t>Капсульные кофемашины</t>
        </is>
      </c>
      <c r="D57" s="2" t="inlineStr">
        <is>
          <t>Ур. 2: Кофеварки и кофемашины
Ур. 3: Капсульная кофемашина</t>
        </is>
      </c>
      <c r="E57" s="2" t="inlineStr">
        <is>
          <t>Конкуренты</t>
        </is>
      </c>
      <c r="F57" s="3" t="n">
        <v>120000</v>
      </c>
      <c r="G57" s="2" t="inlineStr">
        <is>
          <t>М 58% / Ж 42%</t>
        </is>
      </c>
      <c r="H57" s="2" t="inlineStr">
        <is>
          <t>25–44 (64%)</t>
        </is>
      </c>
      <c r="I57" s="2" t="inlineStr">
        <is>
          <t>Москва и МО 25%, СПб 10%, Казань 8%</t>
        </is>
      </c>
      <c r="J57" s="2" t="inlineStr">
        <is>
          <t>Ваша же категория — перехват покупателей конкурентов. Платёжеспособные, Москва и СПб. Козырь: любые капсулы + молотый кофе в одной машине</t>
        </is>
      </c>
      <c r="K57" s="2" t="inlineStr">
        <is>
          <t>Капсулы и молотый</t>
        </is>
      </c>
      <c r="L57" s="2">
        <f>LEN(K57)</f>
        <v/>
      </c>
      <c r="M57" s="2" t="inlineStr">
        <is>
          <t>Капсулы, чалды и молотый в одной машине</t>
        </is>
      </c>
      <c r="N57" s="2">
        <f>LEN(M57)</f>
        <v/>
      </c>
      <c r="O57" s="2" t="inlineStr">
        <is>
          <t>Текст исправлен: машина берёт капсулы формата Nespresso, чалды и молотый, не «любые капсулы»</t>
        </is>
      </c>
    </row>
    <row r="58">
      <c r="A58" s="2" t="inlineStr">
        <is>
          <t>Кофемашина</t>
        </is>
      </c>
      <c r="B58" s="2" t="inlineStr">
        <is>
          <t>COFMASHCAP4V1</t>
        </is>
      </c>
      <c r="C58" s="2" t="inlineStr">
        <is>
          <t>Игрушки</t>
        </is>
      </c>
      <c r="D58" s="2" t="inlineStr">
        <is>
          <t>Ур. 2: Игрушки</t>
        </is>
      </c>
      <c r="E58" s="2" t="inlineStr">
        <is>
          <t>Аудитория</t>
        </is>
      </c>
      <c r="F58" s="3" t="n">
        <v>18454000</v>
      </c>
      <c r="G58" s="2" t="inlineStr">
        <is>
          <t>М 60% / Ж 40%</t>
        </is>
      </c>
      <c r="H58" s="2" t="inlineStr">
        <is>
          <t>18–44 (83%)</t>
        </is>
      </c>
      <c r="I58" s="2" t="inlineStr">
        <is>
          <t>Москва и МО 12%, Казань 7%, Краснодар 6%</t>
        </is>
      </c>
      <c r="J58" s="2" t="inlineStr">
        <is>
          <t>Родители, покупают подарки к праздникам. Работает перед Новым годом и 8 Марта</t>
        </is>
      </c>
      <c r="K58" s="2" t="inlineStr">
        <is>
          <t>Подарок для дома</t>
        </is>
      </c>
      <c r="L58" s="2">
        <f>LEN(K58)</f>
        <v/>
      </c>
      <c r="M58" s="2" t="inlineStr">
        <is>
          <t>Полезная техника в подарок всей семье</t>
        </is>
      </c>
      <c r="N58" s="2">
        <f>LEN(M58)</f>
        <v/>
      </c>
      <c r="O58" s="2" t="inlineStr"/>
    </row>
    <row r="59">
      <c r="A59" s="2" t="inlineStr">
        <is>
          <t>Кофемашина</t>
        </is>
      </c>
      <c r="B59" s="2" t="inlineStr">
        <is>
          <t>COFMASHCAP4V1</t>
        </is>
      </c>
      <c r="C59" s="2" t="inlineStr">
        <is>
          <t>Холодильники</t>
        </is>
      </c>
      <c r="D59" s="2" t="inlineStr">
        <is>
          <t>Ур. 2: Холодильники</t>
        </is>
      </c>
      <c r="E59" s="2" t="inlineStr">
        <is>
          <t>Аудитория</t>
        </is>
      </c>
      <c r="F59" s="3" t="n">
        <v>932000</v>
      </c>
      <c r="G59" s="2" t="inlineStr">
        <is>
          <t>М 57% / Ж 43%</t>
        </is>
      </c>
      <c r="H59" s="2" t="inlineStr">
        <is>
          <t>25–44 (70%)</t>
        </is>
      </c>
      <c r="I59" s="2" t="inlineStr">
        <is>
          <t>Москва и МО 19%, Казань 11%, Екатеринбург 9%</t>
        </is>
      </c>
      <c r="J59" s="2" t="inlineStr">
        <is>
          <t>Обновляют технику дома — самая платёжеспособная аудитория (чек 3–10 тыс. у 32%, 10 тыс.+ у 6%)</t>
        </is>
      </c>
      <c r="K59" s="2" t="inlineStr">
        <is>
          <t>Обновите технику</t>
        </is>
      </c>
      <c r="L59" s="2">
        <f>LEN(K59)</f>
        <v/>
      </c>
      <c r="M59" s="2" t="inlineStr">
        <is>
          <t>Кофемашина для обновлённой кухни</t>
        </is>
      </c>
      <c r="N59" s="2">
        <f>LEN(M59)</f>
        <v/>
      </c>
      <c r="O59" s="2" t="inlineStr"/>
    </row>
    <row r="60">
      <c r="A60" s="2" t="inlineStr">
        <is>
          <t>Кофемашина</t>
        </is>
      </c>
      <c r="B60" s="2" t="inlineStr">
        <is>
          <t>COFMASHCAP4V1</t>
        </is>
      </c>
      <c r="C60" s="2" t="inlineStr">
        <is>
          <t>Проекторы</t>
        </is>
      </c>
      <c r="D60" s="2" t="inlineStr">
        <is>
          <t>Ур. 2: Проекторы
Ур. 3: Проектор</t>
        </is>
      </c>
      <c r="E60" s="2" t="inlineStr">
        <is>
          <t>Аудитория</t>
        </is>
      </c>
      <c r="F60" s="3" t="n">
        <v>585000</v>
      </c>
      <c r="G60" s="2" t="inlineStr">
        <is>
          <t>М 67% / Ж 33%</t>
        </is>
      </c>
      <c r="H60" s="2" t="inlineStr">
        <is>
          <t>25–44 (73%), больше всего 25–34</t>
        </is>
      </c>
      <c r="I60" s="2" t="inlineStr">
        <is>
          <t>Москва и МО 16%, Казань 10%, Екатеринбург 8%</t>
        </is>
      </c>
      <c r="J60" s="2" t="inlineStr">
        <is>
          <t>Молодые любители техники, создают уют дома: кино-вечера. Кофе — часть домашнего ритуала</t>
        </is>
      </c>
      <c r="K60" s="2" t="inlineStr">
        <is>
          <t>Кино и кофе дома</t>
        </is>
      </c>
      <c r="L60" s="2">
        <f>LEN(K60)</f>
        <v/>
      </c>
      <c r="M60" s="2" t="inlineStr">
        <is>
          <t>Кофемашина для уютных вечеров дома</t>
        </is>
      </c>
      <c r="N60" s="2">
        <f>LEN(M60)</f>
        <v/>
      </c>
      <c r="O60" s="2" t="inlineStr"/>
    </row>
    <row r="61">
      <c r="A61" s="2" t="inlineStr">
        <is>
          <t>Кофемашина</t>
        </is>
      </c>
      <c r="B61" s="2" t="inlineStr">
        <is>
          <t>COFMASHCAP4V1</t>
        </is>
      </c>
      <c r="C61" s="2" t="inlineStr">
        <is>
          <t>Машинки для стрижки, бритвы</t>
        </is>
      </c>
      <c r="D61" s="2" t="inlineStr">
        <is>
          <t>Ур. 2: Устройства для стрижки волос и аксессуары
Ур. 3: Электробритва, Триммер</t>
        </is>
      </c>
      <c r="E61" s="2" t="inlineStr">
        <is>
          <t>Аудитория</t>
        </is>
      </c>
      <c r="F61" s="3" t="n">
        <v>6539000</v>
      </c>
      <c r="G61" s="2" t="inlineStr">
        <is>
          <t>М 69% / Ж 31%</t>
        </is>
      </c>
      <c r="H61" s="2" t="inlineStr">
        <is>
          <t>18–44 (83%), больше всего 25–34</t>
        </is>
      </c>
      <c r="I61" s="2" t="inlineStr">
        <is>
          <t>Москва и МО 13%, Казань 9%, Екатеринбург 8%</t>
        </is>
      </c>
      <c r="J61" s="2" t="inlineStr">
        <is>
          <t>Мужчины следят за собой, ценят быстрые утренние ритуалы</t>
        </is>
      </c>
      <c r="K61" s="2" t="inlineStr">
        <is>
          <t>Утренний ритуал</t>
        </is>
      </c>
      <c r="L61" s="2">
        <f>LEN(K61)</f>
        <v/>
      </c>
      <c r="M61" s="2" t="inlineStr">
        <is>
          <t>Кофемашина для быстрого и бодрого утра</t>
        </is>
      </c>
      <c r="N61" s="2">
        <f>LEN(M61)</f>
        <v/>
      </c>
      <c r="O61" s="2" t="inlineStr"/>
    </row>
    <row r="62">
      <c r="A62" s="2" t="inlineStr">
        <is>
          <t>Робот-мойщик окон</t>
        </is>
      </c>
      <c r="B62" s="2" t="inlineStr">
        <is>
          <t>ROBOTOKONKVADR</t>
        </is>
      </c>
      <c r="C62" s="2" t="inlineStr">
        <is>
          <t>Роботы для мойки окон</t>
        </is>
      </c>
      <c r="D62" s="2" t="inlineStr">
        <is>
          <t>Ур. 3: Робот для мойки окон</t>
        </is>
      </c>
      <c r="E62" s="2" t="inlineStr">
        <is>
          <t>Конкуренты</t>
        </is>
      </c>
      <c r="F62" s="3" t="n">
        <v>755000</v>
      </c>
      <c r="G62" s="2" t="inlineStr">
        <is>
          <t>Ж 51% / М 49%</t>
        </is>
      </c>
      <c r="H62" s="2" t="inlineStr">
        <is>
          <t>25–44 (67%), больше всего 35–44</t>
        </is>
      </c>
      <c r="I62" s="2" t="inlineStr">
        <is>
          <t>Москва и МО 16%, Казань 10%, Центр 9%</t>
        </is>
      </c>
      <c r="J62" s="2" t="inlineStr">
        <is>
          <t>Своя категория — перехват покупателей конкурентов. Платёжеспособные, ценят своё время</t>
        </is>
      </c>
      <c r="K62" s="2" t="inlineStr">
        <is>
          <t>Окна моет робот</t>
        </is>
      </c>
      <c r="L62" s="2">
        <f>LEN(K62)</f>
        <v/>
      </c>
      <c r="M62" s="2" t="inlineStr">
        <is>
          <t>Робот-мойщик окон с двойным распылением</t>
        </is>
      </c>
      <c r="N62" s="2">
        <f>LEN(M62)</f>
        <v/>
      </c>
      <c r="O62" s="2" t="inlineStr">
        <is>
          <t>Смежных категорий для робота в файле нет, портрета покупателя тоже — снять в конструкторе</t>
        </is>
      </c>
    </row>
  </sheetData>
  <autoFilter ref="A1:O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2026-10-28T10:36:07Z</dcterms:created>
  <dcterms:modified xsi:type="dcterms:W3CDTF">2026-10-28T10:36:07Z</dcterms:modified>
</cp:coreProperties>
</file>