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Расход по дням" sheetId="1" state="visible" r:id="rId1"/>
    <sheet name="Медий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 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Дата</t>
        </is>
      </c>
      <c r="B1" s="1" t="inlineStr">
        <is>
          <t>Каб 1, ₽</t>
        </is>
      </c>
      <c r="C1" s="1" t="inlineStr">
        <is>
          <t>Каб 2, ₽</t>
        </is>
      </c>
      <c r="D1" s="1" t="inlineStr">
        <is>
          <t>Итого, ₽</t>
        </is>
      </c>
      <c r="E1" s="1" t="inlineStr">
        <is>
          <t>÷5, ₽</t>
        </is>
      </c>
    </row>
    <row r="2">
      <c r="A2" s="2" t="n">
        <v>46314</v>
      </c>
      <c r="B2" s="3" t="n">
        <v>2671.68</v>
      </c>
      <c r="C2" s="3" t="n">
        <v>5290.34</v>
      </c>
      <c r="D2" s="3">
        <f>B2+C2</f>
        <v/>
      </c>
      <c r="E2" s="3">
        <f>D2/5</f>
        <v/>
      </c>
    </row>
    <row r="3">
      <c r="A3" s="2" t="n">
        <v>46315</v>
      </c>
      <c r="B3" s="3" t="n">
        <v>2441.78</v>
      </c>
      <c r="C3" s="3" t="n">
        <v>5681.28</v>
      </c>
      <c r="D3" s="3">
        <f>B3+C3</f>
        <v/>
      </c>
      <c r="E3" s="3">
        <f>D3/5</f>
        <v/>
      </c>
    </row>
    <row r="4">
      <c r="A4" s="2" t="n">
        <v>46316</v>
      </c>
      <c r="B4" s="3" t="n">
        <v>2413.4</v>
      </c>
      <c r="C4" s="3" t="n">
        <v>5903.48</v>
      </c>
      <c r="D4" s="3">
        <f>B4+C4</f>
        <v/>
      </c>
      <c r="E4" s="3">
        <f>D4/5</f>
        <v/>
      </c>
    </row>
    <row r="5">
      <c r="A5" s="2" t="n">
        <v>46317</v>
      </c>
      <c r="B5" s="3" t="n">
        <v>10346.31</v>
      </c>
      <c r="C5" s="3" t="n">
        <v>5322.46</v>
      </c>
      <c r="D5" s="3">
        <f>B5+C5</f>
        <v/>
      </c>
      <c r="E5" s="3">
        <f>D5/5</f>
        <v/>
      </c>
    </row>
    <row r="6">
      <c r="A6" s="2" t="n">
        <v>46318</v>
      </c>
      <c r="B6" s="3" t="n">
        <v>2000.79</v>
      </c>
      <c r="C6" s="3" t="n">
        <v>4559.5</v>
      </c>
      <c r="D6" s="3">
        <f>B6+C6</f>
        <v/>
      </c>
      <c r="E6" s="3">
        <f>D6/5</f>
        <v/>
      </c>
    </row>
    <row r="7">
      <c r="A7" s="2" t="n">
        <v>46319</v>
      </c>
      <c r="B7" s="3" t="n">
        <v>1519.1</v>
      </c>
      <c r="C7" s="3" t="n">
        <v>4207.06</v>
      </c>
      <c r="D7" s="3">
        <f>B7+C7</f>
        <v/>
      </c>
      <c r="E7" s="3">
        <f>D7/5</f>
        <v/>
      </c>
    </row>
    <row r="8">
      <c r="A8" s="2" t="n">
        <v>46320</v>
      </c>
      <c r="B8" s="3" t="n">
        <v>1914</v>
      </c>
      <c r="C8" s="3" t="n">
        <v>4701.4</v>
      </c>
      <c r="D8" s="3">
        <f>B8+C8</f>
        <v/>
      </c>
      <c r="E8" s="3">
        <f>D8/5</f>
        <v/>
      </c>
    </row>
    <row r="9">
      <c r="A9" s="4" t="inlineStr">
        <is>
          <t>Итого</t>
        </is>
      </c>
      <c r="B9" s="5">
        <f>SUM(B2:B8)</f>
        <v/>
      </c>
      <c r="C9" s="5">
        <f>SUM(C2:C8)</f>
        <v/>
      </c>
      <c r="D9" s="5">
        <f>SUM(D2:D8)</f>
        <v/>
      </c>
      <c r="E9" s="5">
        <f>SUM(E2:E8)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4" customWidth="1" min="4" max="4"/>
    <col width="12" customWidth="1" min="5" max="5"/>
    <col width="18" customWidth="1" min="6" max="6"/>
    <col width="8" customWidth="1" min="7" max="7"/>
    <col width="8" customWidth="1" min="8" max="8"/>
  </cols>
  <sheetData>
    <row r="1">
      <c r="C1">
        <f>SUBTOTAL(9,C3:C37)</f>
        <v/>
      </c>
    </row>
    <row r="2">
      <c r="A2" s="6" t="inlineStr">
        <is>
          <t>Артикул</t>
        </is>
      </c>
      <c r="B2" s="6" t="inlineStr">
        <is>
          <t>Дата рекламы</t>
        </is>
      </c>
      <c r="C2" s="6" t="inlineStr">
        <is>
          <t>Затраты на рекламу c НДС</t>
        </is>
      </c>
      <c r="D2" s="6" t="inlineStr">
        <is>
          <t>Затраты на рекламу б/НДС</t>
        </is>
      </c>
      <c r="E2" s="6" t="inlineStr">
        <is>
          <t>Площадка маркетплейс</t>
        </is>
      </c>
      <c r="F2" s="6" t="inlineStr">
        <is>
          <t>Комментарии 
(где реклама)</t>
        </is>
      </c>
      <c r="G2" s="6" t="inlineStr">
        <is>
          <t>Неделя</t>
        </is>
      </c>
      <c r="H2" s="6" t="inlineStr">
        <is>
          <t>Месяц</t>
        </is>
      </c>
    </row>
    <row r="3">
      <c r="A3" t="inlineStr">
        <is>
          <t>SHVPAREKCHB</t>
        </is>
      </c>
      <c r="B3" s="2" t="n">
        <v>46314</v>
      </c>
      <c r="C3" s="3" t="n">
        <v>1592.4</v>
      </c>
      <c r="D3" s="3">
        <f>IF(F3= "директ", C3/1.22, C3)</f>
        <v/>
      </c>
      <c r="E3" t="inlineStr">
        <is>
          <t>Озон</t>
        </is>
      </c>
      <c r="F3" t="inlineStr">
        <is>
          <t>Медийная реклама</t>
        </is>
      </c>
      <c r="G3">
        <f>ISOWEEKNUM(B3)</f>
        <v/>
      </c>
      <c r="H3">
        <f>MONTH(B3)</f>
        <v/>
      </c>
    </row>
    <row r="4">
      <c r="A4" t="inlineStr">
        <is>
          <t>SHVPAREKCHB</t>
        </is>
      </c>
      <c r="B4" s="2" t="n">
        <v>46315</v>
      </c>
      <c r="C4" s="3" t="n">
        <v>1624.61</v>
      </c>
      <c r="D4" s="3">
        <f>IF(F4= "директ", C4/1.22, C4)</f>
        <v/>
      </c>
      <c r="E4" t="inlineStr">
        <is>
          <t>Озон</t>
        </is>
      </c>
      <c r="F4" t="inlineStr">
        <is>
          <t>Медийная реклама</t>
        </is>
      </c>
      <c r="G4">
        <f>ISOWEEKNUM(B4)</f>
        <v/>
      </c>
      <c r="H4">
        <f>MONTH(B4)</f>
        <v/>
      </c>
    </row>
    <row r="5">
      <c r="A5" t="inlineStr">
        <is>
          <t>SHVPAREKCHB</t>
        </is>
      </c>
      <c r="B5" s="2" t="n">
        <v>46316</v>
      </c>
      <c r="C5" s="3" t="n">
        <v>1663.38</v>
      </c>
      <c r="D5" s="3">
        <f>IF(F5= "директ", C5/1.22, C5)</f>
        <v/>
      </c>
      <c r="E5" t="inlineStr">
        <is>
          <t>Озон</t>
        </is>
      </c>
      <c r="F5" t="inlineStr">
        <is>
          <t>Медийная реклама</t>
        </is>
      </c>
      <c r="G5">
        <f>ISOWEEKNUM(B5)</f>
        <v/>
      </c>
      <c r="H5">
        <f>MONTH(B5)</f>
        <v/>
      </c>
    </row>
    <row r="6">
      <c r="A6" t="inlineStr">
        <is>
          <t>SHVPAREKCHB</t>
        </is>
      </c>
      <c r="B6" s="2" t="n">
        <v>46317</v>
      </c>
      <c r="C6" s="3" t="n">
        <v>3133.75</v>
      </c>
      <c r="D6" s="3">
        <f>IF(F6= "директ", C6/1.22, C6)</f>
        <v/>
      </c>
      <c r="E6" t="inlineStr">
        <is>
          <t>Озон</t>
        </is>
      </c>
      <c r="F6" t="inlineStr">
        <is>
          <t>Медийная реклама</t>
        </is>
      </c>
      <c r="G6">
        <f>ISOWEEKNUM(B6)</f>
        <v/>
      </c>
      <c r="H6">
        <f>MONTH(B6)</f>
        <v/>
      </c>
    </row>
    <row r="7">
      <c r="A7" t="inlineStr">
        <is>
          <t>SHVPAREKCHB</t>
        </is>
      </c>
      <c r="B7" s="2" t="n">
        <v>46318</v>
      </c>
      <c r="C7" s="3" t="n">
        <v>1312.06</v>
      </c>
      <c r="D7" s="3">
        <f>IF(F7= "директ", C7/1.22, C7)</f>
        <v/>
      </c>
      <c r="E7" t="inlineStr">
        <is>
          <t>Озон</t>
        </is>
      </c>
      <c r="F7" t="inlineStr">
        <is>
          <t>Медийная реклама</t>
        </is>
      </c>
      <c r="G7">
        <f>ISOWEEKNUM(B7)</f>
        <v/>
      </c>
      <c r="H7">
        <f>MONTH(B7)</f>
        <v/>
      </c>
    </row>
    <row r="8">
      <c r="A8" t="inlineStr">
        <is>
          <t>SHVPAREKCHB</t>
        </is>
      </c>
      <c r="B8" s="2" t="n">
        <v>46319</v>
      </c>
      <c r="C8" s="3" t="n">
        <v>1145.23</v>
      </c>
      <c r="D8" s="3">
        <f>IF(F8= "директ", C8/1.22, C8)</f>
        <v/>
      </c>
      <c r="E8" t="inlineStr">
        <is>
          <t>Озон</t>
        </is>
      </c>
      <c r="F8" t="inlineStr">
        <is>
          <t>Медийная реклама</t>
        </is>
      </c>
      <c r="G8">
        <f>ISOWEEKNUM(B8)</f>
        <v/>
      </c>
      <c r="H8">
        <f>MONTH(B8)</f>
        <v/>
      </c>
    </row>
    <row r="9">
      <c r="A9" t="inlineStr">
        <is>
          <t>SHVPAREKCHB</t>
        </is>
      </c>
      <c r="B9" s="2" t="n">
        <v>46320</v>
      </c>
      <c r="C9" s="3" t="n">
        <v>1323.08</v>
      </c>
      <c r="D9" s="3">
        <f>IF(F9= "директ", C9/1.22, C9)</f>
        <v/>
      </c>
      <c r="E9" t="inlineStr">
        <is>
          <t>Озон</t>
        </is>
      </c>
      <c r="F9" t="inlineStr">
        <is>
          <t>Медийная реклама</t>
        </is>
      </c>
      <c r="G9">
        <f>ISOWEEKNUM(B9)</f>
        <v/>
      </c>
      <c r="H9">
        <f>MONTH(B9)</f>
        <v/>
      </c>
    </row>
    <row r="10">
      <c r="A10" t="inlineStr">
        <is>
          <t>SHVPAR7V1CH</t>
        </is>
      </c>
      <c r="B10" s="2" t="n">
        <v>46314</v>
      </c>
      <c r="C10" s="3" t="n">
        <v>1592.4</v>
      </c>
      <c r="D10" s="3">
        <f>IF(F10= "директ", C10/1.22, C10)</f>
        <v/>
      </c>
      <c r="E10" t="inlineStr">
        <is>
          <t>Озон</t>
        </is>
      </c>
      <c r="F10" t="inlineStr">
        <is>
          <t>Медийная реклама</t>
        </is>
      </c>
      <c r="G10">
        <f>ISOWEEKNUM(B10)</f>
        <v/>
      </c>
      <c r="H10">
        <f>MONTH(B10)</f>
        <v/>
      </c>
    </row>
    <row r="11">
      <c r="A11" t="inlineStr">
        <is>
          <t>SHVPAR7V1CH</t>
        </is>
      </c>
      <c r="B11" s="2" t="n">
        <v>46315</v>
      </c>
      <c r="C11" s="3" t="n">
        <v>1624.61</v>
      </c>
      <c r="D11" s="3">
        <f>IF(F11= "директ", C11/1.22, C11)</f>
        <v/>
      </c>
      <c r="E11" t="inlineStr">
        <is>
          <t>Озон</t>
        </is>
      </c>
      <c r="F11" t="inlineStr">
        <is>
          <t>Медийная реклама</t>
        </is>
      </c>
      <c r="G11">
        <f>ISOWEEKNUM(B11)</f>
        <v/>
      </c>
      <c r="H11">
        <f>MONTH(B11)</f>
        <v/>
      </c>
    </row>
    <row r="12">
      <c r="A12" t="inlineStr">
        <is>
          <t>SHVPAR7V1CH</t>
        </is>
      </c>
      <c r="B12" s="2" t="n">
        <v>46316</v>
      </c>
      <c r="C12" s="3" t="n">
        <v>1663.38</v>
      </c>
      <c r="D12" s="3">
        <f>IF(F12= "директ", C12/1.22, C12)</f>
        <v/>
      </c>
      <c r="E12" t="inlineStr">
        <is>
          <t>Озон</t>
        </is>
      </c>
      <c r="F12" t="inlineStr">
        <is>
          <t>Медийная реклама</t>
        </is>
      </c>
      <c r="G12">
        <f>ISOWEEKNUM(B12)</f>
        <v/>
      </c>
      <c r="H12">
        <f>MONTH(B12)</f>
        <v/>
      </c>
    </row>
    <row r="13">
      <c r="A13" t="inlineStr">
        <is>
          <t>SHVPAR7V1CH</t>
        </is>
      </c>
      <c r="B13" s="2" t="n">
        <v>46317</v>
      </c>
      <c r="C13" s="3" t="n">
        <v>3133.75</v>
      </c>
      <c r="D13" s="3">
        <f>IF(F13= "директ", C13/1.22, C13)</f>
        <v/>
      </c>
      <c r="E13" t="inlineStr">
        <is>
          <t>Озон</t>
        </is>
      </c>
      <c r="F13" t="inlineStr">
        <is>
          <t>Медийная реклама</t>
        </is>
      </c>
      <c r="G13">
        <f>ISOWEEKNUM(B13)</f>
        <v/>
      </c>
      <c r="H13">
        <f>MONTH(B13)</f>
        <v/>
      </c>
    </row>
    <row r="14">
      <c r="A14" t="inlineStr">
        <is>
          <t>SHVPAR7V1CH</t>
        </is>
      </c>
      <c r="B14" s="2" t="n">
        <v>46318</v>
      </c>
      <c r="C14" s="3" t="n">
        <v>1312.06</v>
      </c>
      <c r="D14" s="3">
        <f>IF(F14= "директ", C14/1.22, C14)</f>
        <v/>
      </c>
      <c r="E14" t="inlineStr">
        <is>
          <t>Озон</t>
        </is>
      </c>
      <c r="F14" t="inlineStr">
        <is>
          <t>Медийная реклама</t>
        </is>
      </c>
      <c r="G14">
        <f>ISOWEEKNUM(B14)</f>
        <v/>
      </c>
      <c r="H14">
        <f>MONTH(B14)</f>
        <v/>
      </c>
    </row>
    <row r="15">
      <c r="A15" t="inlineStr">
        <is>
          <t>SHVPAR7V1CH</t>
        </is>
      </c>
      <c r="B15" s="2" t="n">
        <v>46319</v>
      </c>
      <c r="C15" s="3" t="n">
        <v>1145.23</v>
      </c>
      <c r="D15" s="3">
        <f>IF(F15= "директ", C15/1.22, C15)</f>
        <v/>
      </c>
      <c r="E15" t="inlineStr">
        <is>
          <t>Озон</t>
        </is>
      </c>
      <c r="F15" t="inlineStr">
        <is>
          <t>Медийная реклама</t>
        </is>
      </c>
      <c r="G15">
        <f>ISOWEEKNUM(B15)</f>
        <v/>
      </c>
      <c r="H15">
        <f>MONTH(B15)</f>
        <v/>
      </c>
    </row>
    <row r="16">
      <c r="A16" t="inlineStr">
        <is>
          <t>SHVPAR7V1CH</t>
        </is>
      </c>
      <c r="B16" s="2" t="n">
        <v>46320</v>
      </c>
      <c r="C16" s="3" t="n">
        <v>1323.08</v>
      </c>
      <c r="D16" s="3">
        <f>IF(F16= "директ", C16/1.22, C16)</f>
        <v/>
      </c>
      <c r="E16" t="inlineStr">
        <is>
          <t>Озон</t>
        </is>
      </c>
      <c r="F16" t="inlineStr">
        <is>
          <t>Медийная реклама</t>
        </is>
      </c>
      <c r="G16">
        <f>ISOWEEKNUM(B16)</f>
        <v/>
      </c>
      <c r="H16">
        <f>MONTH(B16)</f>
        <v/>
      </c>
    </row>
    <row r="17">
      <c r="A17" t="inlineStr">
        <is>
          <t>VACCLCOMPACT</t>
        </is>
      </c>
      <c r="B17" s="2" t="n">
        <v>46314</v>
      </c>
      <c r="C17" s="3" t="n">
        <v>1592.4</v>
      </c>
      <c r="D17" s="3">
        <f>IF(F17= "директ", C17/1.22, C17)</f>
        <v/>
      </c>
      <c r="E17" t="inlineStr">
        <is>
          <t>Озон</t>
        </is>
      </c>
      <c r="F17" t="inlineStr">
        <is>
          <t>Медийная реклама</t>
        </is>
      </c>
      <c r="G17">
        <f>ISOWEEKNUM(B17)</f>
        <v/>
      </c>
      <c r="H17">
        <f>MONTH(B17)</f>
        <v/>
      </c>
    </row>
    <row r="18">
      <c r="A18" t="inlineStr">
        <is>
          <t>VACCLCOMPACT</t>
        </is>
      </c>
      <c r="B18" s="2" t="n">
        <v>46315</v>
      </c>
      <c r="C18" s="3" t="n">
        <v>1624.61</v>
      </c>
      <c r="D18" s="3">
        <f>IF(F18= "директ", C18/1.22, C18)</f>
        <v/>
      </c>
      <c r="E18" t="inlineStr">
        <is>
          <t>Озон</t>
        </is>
      </c>
      <c r="F18" t="inlineStr">
        <is>
          <t>Медийная реклама</t>
        </is>
      </c>
      <c r="G18">
        <f>ISOWEEKNUM(B18)</f>
        <v/>
      </c>
      <c r="H18">
        <f>MONTH(B18)</f>
        <v/>
      </c>
    </row>
    <row r="19">
      <c r="A19" t="inlineStr">
        <is>
          <t>VACCLCOMPACT</t>
        </is>
      </c>
      <c r="B19" s="2" t="n">
        <v>46316</v>
      </c>
      <c r="C19" s="3" t="n">
        <v>1663.38</v>
      </c>
      <c r="D19" s="3">
        <f>IF(F19= "директ", C19/1.22, C19)</f>
        <v/>
      </c>
      <c r="E19" t="inlineStr">
        <is>
          <t>Озон</t>
        </is>
      </c>
      <c r="F19" t="inlineStr">
        <is>
          <t>Медийная реклама</t>
        </is>
      </c>
      <c r="G19">
        <f>ISOWEEKNUM(B19)</f>
        <v/>
      </c>
      <c r="H19">
        <f>MONTH(B19)</f>
        <v/>
      </c>
    </row>
    <row r="20">
      <c r="A20" t="inlineStr">
        <is>
          <t>VACCLCOMPACT</t>
        </is>
      </c>
      <c r="B20" s="2" t="n">
        <v>46317</v>
      </c>
      <c r="C20" s="3" t="n">
        <v>3133.75</v>
      </c>
      <c r="D20" s="3">
        <f>IF(F20= "директ", C20/1.22, C20)</f>
        <v/>
      </c>
      <c r="E20" t="inlineStr">
        <is>
          <t>Озон</t>
        </is>
      </c>
      <c r="F20" t="inlineStr">
        <is>
          <t>Медийная реклама</t>
        </is>
      </c>
      <c r="G20">
        <f>ISOWEEKNUM(B20)</f>
        <v/>
      </c>
      <c r="H20">
        <f>MONTH(B20)</f>
        <v/>
      </c>
    </row>
    <row r="21">
      <c r="A21" t="inlineStr">
        <is>
          <t>VACCLCOMPACT</t>
        </is>
      </c>
      <c r="B21" s="2" t="n">
        <v>46318</v>
      </c>
      <c r="C21" s="3" t="n">
        <v>1312.06</v>
      </c>
      <c r="D21" s="3">
        <f>IF(F21= "директ", C21/1.22, C21)</f>
        <v/>
      </c>
      <c r="E21" t="inlineStr">
        <is>
          <t>Озон</t>
        </is>
      </c>
      <c r="F21" t="inlineStr">
        <is>
          <t>Медийная реклама</t>
        </is>
      </c>
      <c r="G21">
        <f>ISOWEEKNUM(B21)</f>
        <v/>
      </c>
      <c r="H21">
        <f>MONTH(B21)</f>
        <v/>
      </c>
    </row>
    <row r="22">
      <c r="A22" t="inlineStr">
        <is>
          <t>VACCLCOMPACT</t>
        </is>
      </c>
      <c r="B22" s="2" t="n">
        <v>46319</v>
      </c>
      <c r="C22" s="3" t="n">
        <v>1145.23</v>
      </c>
      <c r="D22" s="3">
        <f>IF(F22= "директ", C22/1.22, C22)</f>
        <v/>
      </c>
      <c r="E22" t="inlineStr">
        <is>
          <t>Озон</t>
        </is>
      </c>
      <c r="F22" t="inlineStr">
        <is>
          <t>Медийная реклама</t>
        </is>
      </c>
      <c r="G22">
        <f>ISOWEEKNUM(B22)</f>
        <v/>
      </c>
      <c r="H22">
        <f>MONTH(B22)</f>
        <v/>
      </c>
    </row>
    <row r="23">
      <c r="A23" t="inlineStr">
        <is>
          <t>VACCLCOMPACT</t>
        </is>
      </c>
      <c r="B23" s="2" t="n">
        <v>46320</v>
      </c>
      <c r="C23" s="3" t="n">
        <v>1323.08</v>
      </c>
      <c r="D23" s="3">
        <f>IF(F23= "директ", C23/1.22, C23)</f>
        <v/>
      </c>
      <c r="E23" t="inlineStr">
        <is>
          <t>Озон</t>
        </is>
      </c>
      <c r="F23" t="inlineStr">
        <is>
          <t>Медийная реклама</t>
        </is>
      </c>
      <c r="G23">
        <f>ISOWEEKNUM(B23)</f>
        <v/>
      </c>
      <c r="H23">
        <f>MONTH(B23)</f>
        <v/>
      </c>
    </row>
    <row r="24">
      <c r="A24" t="inlineStr">
        <is>
          <t>VACCLDRY</t>
        </is>
      </c>
      <c r="B24" s="2" t="n">
        <v>46314</v>
      </c>
      <c r="C24" s="3" t="n">
        <v>1592.4</v>
      </c>
      <c r="D24" s="3">
        <f>IF(F24= "директ", C24/1.22, C24)</f>
        <v/>
      </c>
      <c r="E24" t="inlineStr">
        <is>
          <t>Озон</t>
        </is>
      </c>
      <c r="F24" t="inlineStr">
        <is>
          <t>Медийная реклама</t>
        </is>
      </c>
      <c r="G24">
        <f>ISOWEEKNUM(B24)</f>
        <v/>
      </c>
      <c r="H24">
        <f>MONTH(B24)</f>
        <v/>
      </c>
    </row>
    <row r="25">
      <c r="A25" t="inlineStr">
        <is>
          <t>VACCLDRY</t>
        </is>
      </c>
      <c r="B25" s="2" t="n">
        <v>46315</v>
      </c>
      <c r="C25" s="3" t="n">
        <v>1624.61</v>
      </c>
      <c r="D25" s="3">
        <f>IF(F25= "директ", C25/1.22, C25)</f>
        <v/>
      </c>
      <c r="E25" t="inlineStr">
        <is>
          <t>Озон</t>
        </is>
      </c>
      <c r="F25" t="inlineStr">
        <is>
          <t>Медийная реклама</t>
        </is>
      </c>
      <c r="G25">
        <f>ISOWEEKNUM(B25)</f>
        <v/>
      </c>
      <c r="H25">
        <f>MONTH(B25)</f>
        <v/>
      </c>
    </row>
    <row r="26">
      <c r="A26" t="inlineStr">
        <is>
          <t>VACCLDRY</t>
        </is>
      </c>
      <c r="B26" s="2" t="n">
        <v>46316</v>
      </c>
      <c r="C26" s="3" t="n">
        <v>1663.38</v>
      </c>
      <c r="D26" s="3">
        <f>IF(F26= "директ", C26/1.22, C26)</f>
        <v/>
      </c>
      <c r="E26" t="inlineStr">
        <is>
          <t>Озон</t>
        </is>
      </c>
      <c r="F26" t="inlineStr">
        <is>
          <t>Медийная реклама</t>
        </is>
      </c>
      <c r="G26">
        <f>ISOWEEKNUM(B26)</f>
        <v/>
      </c>
      <c r="H26">
        <f>MONTH(B26)</f>
        <v/>
      </c>
    </row>
    <row r="27">
      <c r="A27" t="inlineStr">
        <is>
          <t>VACCLDRY</t>
        </is>
      </c>
      <c r="B27" s="2" t="n">
        <v>46317</v>
      </c>
      <c r="C27" s="3" t="n">
        <v>3133.75</v>
      </c>
      <c r="D27" s="3">
        <f>IF(F27= "директ", C27/1.22, C27)</f>
        <v/>
      </c>
      <c r="E27" t="inlineStr">
        <is>
          <t>Озон</t>
        </is>
      </c>
      <c r="F27" t="inlineStr">
        <is>
          <t>Медийная реклама</t>
        </is>
      </c>
      <c r="G27">
        <f>ISOWEEKNUM(B27)</f>
        <v/>
      </c>
      <c r="H27">
        <f>MONTH(B27)</f>
        <v/>
      </c>
    </row>
    <row r="28">
      <c r="A28" t="inlineStr">
        <is>
          <t>VACCLDRY</t>
        </is>
      </c>
      <c r="B28" s="2" t="n">
        <v>46318</v>
      </c>
      <c r="C28" s="3" t="n">
        <v>1312.06</v>
      </c>
      <c r="D28" s="3">
        <f>IF(F28= "директ", C28/1.22, C28)</f>
        <v/>
      </c>
      <c r="E28" t="inlineStr">
        <is>
          <t>Озон</t>
        </is>
      </c>
      <c r="F28" t="inlineStr">
        <is>
          <t>Медийная реклама</t>
        </is>
      </c>
      <c r="G28">
        <f>ISOWEEKNUM(B28)</f>
        <v/>
      </c>
      <c r="H28">
        <f>MONTH(B28)</f>
        <v/>
      </c>
    </row>
    <row r="29">
      <c r="A29" t="inlineStr">
        <is>
          <t>VACCLDRY</t>
        </is>
      </c>
      <c r="B29" s="2" t="n">
        <v>46319</v>
      </c>
      <c r="C29" s="3" t="n">
        <v>1145.23</v>
      </c>
      <c r="D29" s="3">
        <f>IF(F29= "директ", C29/1.22, C29)</f>
        <v/>
      </c>
      <c r="E29" t="inlineStr">
        <is>
          <t>Озон</t>
        </is>
      </c>
      <c r="F29" t="inlineStr">
        <is>
          <t>Медийная реклама</t>
        </is>
      </c>
      <c r="G29">
        <f>ISOWEEKNUM(B29)</f>
        <v/>
      </c>
      <c r="H29">
        <f>MONTH(B29)</f>
        <v/>
      </c>
    </row>
    <row r="30">
      <c r="A30" t="inlineStr">
        <is>
          <t>VACCLDRY</t>
        </is>
      </c>
      <c r="B30" s="2" t="n">
        <v>46320</v>
      </c>
      <c r="C30" s="3" t="n">
        <v>1323.08</v>
      </c>
      <c r="D30" s="3">
        <f>IF(F30= "директ", C30/1.22, C30)</f>
        <v/>
      </c>
      <c r="E30" t="inlineStr">
        <is>
          <t>Озон</t>
        </is>
      </c>
      <c r="F30" t="inlineStr">
        <is>
          <t>Медийная реклама</t>
        </is>
      </c>
      <c r="G30">
        <f>ISOWEEKNUM(B30)</f>
        <v/>
      </c>
      <c r="H30">
        <f>MONTH(B30)</f>
        <v/>
      </c>
    </row>
    <row r="31">
      <c r="A31" t="inlineStr">
        <is>
          <t>AEROGRIL2CHASHI</t>
        </is>
      </c>
      <c r="B31" s="2" t="n">
        <v>46314</v>
      </c>
      <c r="C31" s="3" t="n">
        <v>1592.4</v>
      </c>
      <c r="D31" s="3">
        <f>IF(F31= "директ", C31/1.22, C31)</f>
        <v/>
      </c>
      <c r="E31" t="inlineStr">
        <is>
          <t>Озон</t>
        </is>
      </c>
      <c r="F31" t="inlineStr">
        <is>
          <t>Медийная реклама</t>
        </is>
      </c>
      <c r="G31">
        <f>ISOWEEKNUM(B31)</f>
        <v/>
      </c>
      <c r="H31">
        <f>MONTH(B31)</f>
        <v/>
      </c>
    </row>
    <row r="32">
      <c r="A32" t="inlineStr">
        <is>
          <t>AEROGRIL2CHASHI</t>
        </is>
      </c>
      <c r="B32" s="2" t="n">
        <v>46315</v>
      </c>
      <c r="C32" s="3" t="n">
        <v>1624.61</v>
      </c>
      <c r="D32" s="3">
        <f>IF(F32= "директ", C32/1.22, C32)</f>
        <v/>
      </c>
      <c r="E32" t="inlineStr">
        <is>
          <t>Озон</t>
        </is>
      </c>
      <c r="F32" t="inlineStr">
        <is>
          <t>Медийная реклама</t>
        </is>
      </c>
      <c r="G32">
        <f>ISOWEEKNUM(B32)</f>
        <v/>
      </c>
      <c r="H32">
        <f>MONTH(B32)</f>
        <v/>
      </c>
    </row>
    <row r="33">
      <c r="A33" t="inlineStr">
        <is>
          <t>AEROGRIL2CHASHI</t>
        </is>
      </c>
      <c r="B33" s="2" t="n">
        <v>46316</v>
      </c>
      <c r="C33" s="3" t="n">
        <v>1663.38</v>
      </c>
      <c r="D33" s="3">
        <f>IF(F33= "директ", C33/1.22, C33)</f>
        <v/>
      </c>
      <c r="E33" t="inlineStr">
        <is>
          <t>Озон</t>
        </is>
      </c>
      <c r="F33" t="inlineStr">
        <is>
          <t>Медийная реклама</t>
        </is>
      </c>
      <c r="G33">
        <f>ISOWEEKNUM(B33)</f>
        <v/>
      </c>
      <c r="H33">
        <f>MONTH(B33)</f>
        <v/>
      </c>
    </row>
    <row r="34">
      <c r="A34" t="inlineStr">
        <is>
          <t>AEROGRIL2CHASHI</t>
        </is>
      </c>
      <c r="B34" s="2" t="n">
        <v>46317</v>
      </c>
      <c r="C34" s="3" t="n">
        <v>3133.75</v>
      </c>
      <c r="D34" s="3">
        <f>IF(F34= "директ", C34/1.22, C34)</f>
        <v/>
      </c>
      <c r="E34" t="inlineStr">
        <is>
          <t>Озон</t>
        </is>
      </c>
      <c r="F34" t="inlineStr">
        <is>
          <t>Медийная реклама</t>
        </is>
      </c>
      <c r="G34">
        <f>ISOWEEKNUM(B34)</f>
        <v/>
      </c>
      <c r="H34">
        <f>MONTH(B34)</f>
        <v/>
      </c>
    </row>
    <row r="35">
      <c r="A35" t="inlineStr">
        <is>
          <t>AEROGRIL2CHASHI</t>
        </is>
      </c>
      <c r="B35" s="2" t="n">
        <v>46318</v>
      </c>
      <c r="C35" s="3" t="n">
        <v>1312.06</v>
      </c>
      <c r="D35" s="3">
        <f>IF(F35= "директ", C35/1.22, C35)</f>
        <v/>
      </c>
      <c r="E35" t="inlineStr">
        <is>
          <t>Озон</t>
        </is>
      </c>
      <c r="F35" t="inlineStr">
        <is>
          <t>Медийная реклама</t>
        </is>
      </c>
      <c r="G35">
        <f>ISOWEEKNUM(B35)</f>
        <v/>
      </c>
      <c r="H35">
        <f>MONTH(B35)</f>
        <v/>
      </c>
    </row>
    <row r="36">
      <c r="A36" t="inlineStr">
        <is>
          <t>AEROGRIL2CHASHI</t>
        </is>
      </c>
      <c r="B36" s="2" t="n">
        <v>46319</v>
      </c>
      <c r="C36" s="3" t="n">
        <v>1145.23</v>
      </c>
      <c r="D36" s="3">
        <f>IF(F36= "директ", C36/1.22, C36)</f>
        <v/>
      </c>
      <c r="E36" t="inlineStr">
        <is>
          <t>Озон</t>
        </is>
      </c>
      <c r="F36" t="inlineStr">
        <is>
          <t>Медийная реклама</t>
        </is>
      </c>
      <c r="G36">
        <f>ISOWEEKNUM(B36)</f>
        <v/>
      </c>
      <c r="H36">
        <f>MONTH(B36)</f>
        <v/>
      </c>
    </row>
    <row r="37">
      <c r="A37" t="inlineStr">
        <is>
          <t>AEROGRIL2CHASHI</t>
        </is>
      </c>
      <c r="B37" s="2" t="n">
        <v>46320</v>
      </c>
      <c r="C37" s="3" t="n">
        <v>1323.08</v>
      </c>
      <c r="D37" s="3">
        <f>IF(F37= "директ", C37/1.22, C37)</f>
        <v/>
      </c>
      <c r="E37" t="inlineStr">
        <is>
          <t>Озон</t>
        </is>
      </c>
      <c r="F37" t="inlineStr">
        <is>
          <t>Медийная реклама</t>
        </is>
      </c>
      <c r="G37">
        <f>ISOWEEKNUM(B37)</f>
        <v/>
      </c>
      <c r="H37">
        <f>MONTH(B37)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2026-10-26T13:13:09Z</dcterms:created>
  <dcterms:modified xsi:type="dcterms:W3CDTF">2026-10-26T13:13:09Z</dcterms:modified>
</cp:coreProperties>
</file>