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ннер" sheetId="1" state="visible" r:id="rId1"/>
    <sheet xmlns:r="http://schemas.openxmlformats.org/officeDocument/2006/relationships" name="Нативный" sheetId="2" state="visible" r:id="rId2"/>
    <sheet xmlns:r="http://schemas.openxmlformats.org/officeDocument/2006/relationships" name="Оффервол" sheetId="3" state="visible" r:id="rId3"/>
    <sheet xmlns:r="http://schemas.openxmlformats.org/officeDocument/2006/relationships" name="Видеобаннер" sheetId="4" state="visible" r:id="rId4"/>
    <sheet xmlns:r="http://schemas.openxmlformats.org/officeDocument/2006/relationships" name="Пуш-рассылка" sheetId="5" state="visible" r:id="rId5"/>
    <sheet xmlns:r="http://schemas.openxmlformats.org/officeDocument/2006/relationships" name="Портрет покупателя" sheetId="6" state="visible" r:id="rId6"/>
    <sheet xmlns:r="http://schemas.openxmlformats.org/officeDocument/2006/relationships" name="Портрет смежных" sheetId="7" state="visible" r:id="rId7"/>
    <sheet xmlns:r="http://schemas.openxmlformats.org/officeDocument/2006/relationships" name="Цифры смежны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"/>
    <numFmt numFmtId="165" formatCode="0.0%"/>
    <numFmt numFmtId="166" formatCode="+0.0%;-0.0%;0.0%"/>
  </numFmts>
  <fonts count="8">
    <font>
      <name val="Calibri"/>
      <family val="2"/>
      <color theme="1"/>
      <sz val="11"/>
      <scheme val="minor"/>
    </font>
    <font>
      <name val="Arial"/>
      <b val="1"/>
      <color rgb="00005BFF"/>
      <sz val="16"/>
    </font>
    <font>
      <name val="Arial"/>
      <i val="1"/>
      <color rgb="00555555"/>
      <sz val="10"/>
    </font>
    <font>
      <name val="Arial"/>
      <b val="1"/>
      <color rgb="001A1A1A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77777"/>
      <sz val="9"/>
    </font>
  </fonts>
  <fills count="8">
    <fill>
      <patternFill/>
    </fill>
    <fill>
      <patternFill patternType="gray125"/>
    </fill>
    <fill>
      <patternFill patternType="solid">
        <fgColor rgb="00E6EEFF"/>
      </patternFill>
    </fill>
    <fill>
      <patternFill patternType="solid">
        <fgColor rgb="00005BFF"/>
      </patternFill>
    </fill>
    <fill>
      <patternFill patternType="solid">
        <fgColor rgb="00FFF4E5"/>
      </patternFill>
    </fill>
    <fill>
      <patternFill patternType="solid">
        <fgColor rgb="00FFFF00"/>
      </patternFill>
    </fill>
    <fill>
      <patternFill patternType="solid">
        <fgColor rgb="00FCE4EC"/>
      </patternFill>
    </fill>
    <fill>
      <patternFill patternType="solid">
        <fgColor rgb="00E3F6E8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0" borderId="1" pivotButton="0" quotePrefix="0" xfId="0"/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Баннер Ozon</t>
        </is>
      </c>
    </row>
    <row r="2">
      <c r="A2" s="2" t="inlineStr">
        <is>
          <t>Главная, поиск, каталог + страница «Заказ выполнен». На каждое место — 2 макета: сайт и приложение/мобильная версия.</t>
        </is>
      </c>
    </row>
    <row r="4" ht="22" customHeight="1">
      <c r="A4" s="3" t="inlineStr">
        <is>
          <t>Размеры, охранная область, вес</t>
        </is>
      </c>
    </row>
    <row r="5" ht="32" customHeight="1">
      <c r="A5" s="4" t="inlineStr">
        <is>
          <t>Место размещения</t>
        </is>
      </c>
      <c r="B5" s="4" t="inlineStr">
        <is>
          <t>Платформа</t>
        </is>
      </c>
      <c r="C5" s="4" t="inlineStr">
        <is>
          <t>Ширина, px</t>
        </is>
      </c>
      <c r="D5" s="4" t="inlineStr">
        <is>
          <t>Высота, px</t>
        </is>
      </c>
      <c r="E5" s="4" t="inlineStr">
        <is>
          <t>Охранная ширина, px</t>
        </is>
      </c>
      <c r="F5" s="4" t="inlineStr">
        <is>
          <t>Охранная высота, px</t>
        </is>
      </c>
      <c r="G5" s="4" t="inlineStr">
        <is>
          <t>Отступ слева/справа, px</t>
        </is>
      </c>
      <c r="H5" s="4" t="inlineStr">
        <is>
          <t>Отступ сверху/снизу, px</t>
        </is>
      </c>
      <c r="I5" s="4" t="inlineStr">
        <is>
          <t>Макс. вес</t>
        </is>
      </c>
      <c r="J5" s="4" t="inlineStr">
        <is>
          <t>Формат</t>
        </is>
      </c>
    </row>
    <row r="6">
      <c r="A6" s="5" t="inlineStr">
        <is>
          <t>Главная, поиск, каталог</t>
        </is>
      </c>
      <c r="B6" s="6" t="inlineStr">
        <is>
          <t>Сайт (десктоп)</t>
        </is>
      </c>
      <c r="C6" s="6" t="n">
        <v>2832</v>
      </c>
      <c r="D6" s="6" t="n">
        <v>600</v>
      </c>
      <c r="E6" s="6" t="n">
        <v>2100</v>
      </c>
      <c r="F6" s="6" t="n">
        <v>570</v>
      </c>
      <c r="G6" s="7">
        <f>(C6-E6)/2</f>
        <v/>
      </c>
      <c r="H6" s="7">
        <f>(D6-F6)/2</f>
        <v/>
      </c>
      <c r="I6" s="6" t="inlineStr">
        <is>
          <t>до 150 КБ</t>
        </is>
      </c>
      <c r="J6" s="6" t="inlineStr">
        <is>
          <t>JPG, JPEG, PNG, GIF (только статичный)</t>
        </is>
      </c>
    </row>
    <row r="7">
      <c r="A7" s="5" t="inlineStr">
        <is>
          <t>Главная, поиск, каталог</t>
        </is>
      </c>
      <c r="B7" s="6" t="inlineStr">
        <is>
          <t>Мобильная версия / Приложение</t>
        </is>
      </c>
      <c r="C7" s="6" t="n">
        <v>1080</v>
      </c>
      <c r="D7" s="6" t="n">
        <v>450</v>
      </c>
      <c r="E7" s="6" t="n">
        <v>1020</v>
      </c>
      <c r="F7" s="6" t="n">
        <v>405</v>
      </c>
      <c r="G7" s="7">
        <f>(C7-E7)/2</f>
        <v/>
      </c>
      <c r="H7" s="7">
        <f>(D7-F7)/2</f>
        <v/>
      </c>
      <c r="I7" s="6" t="inlineStr">
        <is>
          <t>до 120 КБ</t>
        </is>
      </c>
      <c r="J7" s="6" t="inlineStr">
        <is>
          <t>JPG, JPEG, PNG</t>
        </is>
      </c>
    </row>
    <row r="8">
      <c r="A8" s="5" t="inlineStr">
        <is>
          <t>Страница «Заказ выполнен»</t>
        </is>
      </c>
      <c r="B8" s="6" t="inlineStr">
        <is>
          <t>Сайт (десктоп)</t>
        </is>
      </c>
      <c r="C8" s="6" t="n">
        <v>770</v>
      </c>
      <c r="D8" s="6" t="n">
        <v>980</v>
      </c>
      <c r="E8" s="6" t="n">
        <v>730</v>
      </c>
      <c r="F8" s="6" t="n">
        <v>930</v>
      </c>
      <c r="G8" s="7">
        <f>(C8-E8)/2</f>
        <v/>
      </c>
      <c r="H8" s="7">
        <f>(D8-F8)/2</f>
        <v/>
      </c>
      <c r="I8" s="6" t="inlineStr">
        <is>
          <t>до 150 КБ</t>
        </is>
      </c>
      <c r="J8" s="6" t="inlineStr">
        <is>
          <t>JPG, JPEG, PNG</t>
        </is>
      </c>
    </row>
    <row r="9">
      <c r="A9" s="5" t="inlineStr">
        <is>
          <t>Страница «Заказ выполнен»</t>
        </is>
      </c>
      <c r="B9" s="6" t="inlineStr">
        <is>
          <t>Мобильная версия / Приложение</t>
        </is>
      </c>
      <c r="C9" s="6" t="n">
        <v>1152</v>
      </c>
      <c r="D9" s="6" t="n">
        <v>741</v>
      </c>
      <c r="E9" s="6" t="n">
        <v>1100</v>
      </c>
      <c r="F9" s="6" t="n">
        <v>700</v>
      </c>
      <c r="G9" s="7">
        <f>(C9-E9)/2</f>
        <v/>
      </c>
      <c r="H9" s="7">
        <f>(D9-F9)/2</f>
        <v/>
      </c>
      <c r="I9" s="6" t="inlineStr">
        <is>
          <t>до 120 КБ</t>
        </is>
      </c>
      <c r="J9" s="6" t="inlineStr">
        <is>
          <t>JPG, JPEG, PNG</t>
        </is>
      </c>
    </row>
    <row r="11" ht="22" customHeight="1">
      <c r="A11" s="3" t="inlineStr">
        <is>
          <t>Метка «Реклама»</t>
        </is>
      </c>
    </row>
    <row r="12" ht="30" customHeight="1">
      <c r="A12" s="8" t="inlineStr">
        <is>
          <t>•  Ozon сам ставит метку «Реклама» в ПРАВЫЙ ВЕРХНИЙ угол. Зону 295 × 105 px от правого верхнего угла оставить пустой: без текста, логотипа и товара.</t>
        </is>
      </c>
    </row>
    <row r="13" ht="30" customHeight="1">
      <c r="A13" s="8" t="inlineStr">
        <is>
          <t>•  На десктопном баннере 2832 × 600 ключевой контент — по центру: по бокам 366 px вне охранной области и могут обрезаться на узких экранах.</t>
        </is>
      </c>
    </row>
    <row r="15" ht="22" customHeight="1">
      <c r="A15" s="3" t="inlineStr">
        <is>
          <t>Настройки аудитории</t>
        </is>
      </c>
    </row>
    <row r="16" ht="24" customHeight="1">
      <c r="A16" s="4" t="inlineStr">
        <is>
          <t>Чьи товары</t>
        </is>
      </c>
      <c r="B16" s="9" t="n"/>
      <c r="C16" s="4" t="inlineStr">
        <is>
          <t>Действие</t>
        </is>
      </c>
      <c r="D16" s="4" t="inlineStr">
        <is>
          <t>Период</t>
        </is>
      </c>
      <c r="E16" s="4" t="inlineStr">
        <is>
          <t>Исключение</t>
        </is>
      </c>
      <c r="F16" s="9" t="n"/>
      <c r="G16" s="4" t="inlineStr">
        <is>
          <t>Идея креатива (рекомендация)</t>
        </is>
      </c>
      <c r="H16" s="9" t="n"/>
      <c r="I16" s="9" t="n"/>
      <c r="J16" s="9" t="n"/>
    </row>
    <row r="17" ht="28" customHeight="1">
      <c r="A17" s="5" t="inlineStr">
        <is>
          <t>Мои товары</t>
        </is>
      </c>
      <c r="B17" s="10" t="n"/>
      <c r="C17" s="6" t="inlineStr">
        <is>
          <t>Посмотрели</t>
        </is>
      </c>
      <c r="D17" s="6" t="inlineStr">
        <is>
          <t>7 дн</t>
        </is>
      </c>
      <c r="E17" s="6" t="inlineStr">
        <is>
          <t>не купили товары категории за 90 дн</t>
        </is>
      </c>
      <c r="F17" s="10" t="n"/>
      <c r="G17" s="11" t="inlineStr">
        <is>
          <t>Тёплые: напомнить о том же товаре, крупно товар + выгода</t>
        </is>
      </c>
      <c r="H17" s="10" t="n"/>
      <c r="I17" s="10" t="n"/>
      <c r="J17" s="10" t="n"/>
    </row>
    <row r="18" ht="28" customHeight="1">
      <c r="A18" s="5" t="inlineStr">
        <is>
          <t>Мои товары</t>
        </is>
      </c>
      <c r="B18" s="10" t="n"/>
      <c r="C18" s="6" t="inlineStr">
        <is>
          <t>Посмотрели</t>
        </is>
      </c>
      <c r="D18" s="6" t="inlineStr">
        <is>
          <t>28 дн</t>
        </is>
      </c>
      <c r="E18" s="6" t="inlineStr">
        <is>
          <t>не купили товары категории за 90 дн</t>
        </is>
      </c>
      <c r="F18" s="10" t="n"/>
      <c r="G18" s="11" t="inlineStr">
        <is>
          <t>Остыли: напомнить о товаре + повод вернуться (акция, новинка)</t>
        </is>
      </c>
      <c r="H18" s="10" t="n"/>
      <c r="I18" s="10" t="n"/>
      <c r="J18" s="10" t="n"/>
    </row>
    <row r="19" ht="28" customHeight="1">
      <c r="A19" s="5" t="inlineStr">
        <is>
          <t>Мои товары</t>
        </is>
      </c>
      <c r="B19" s="10" t="n"/>
      <c r="C19" s="6" t="inlineStr">
        <is>
          <t>Корзина / избранное</t>
        </is>
      </c>
      <c r="D19" s="6" t="inlineStr">
        <is>
          <t>7 дн</t>
        </is>
      </c>
      <c r="E19" s="6" t="inlineStr">
        <is>
          <t>не купили товары категории за 90 дн</t>
        </is>
      </c>
      <c r="F19" s="10" t="n"/>
      <c r="G19" s="11" t="inlineStr">
        <is>
          <t>Самые горячие: дожать — цена, скидка, «осталось мало»</t>
        </is>
      </c>
      <c r="H19" s="10" t="n"/>
      <c r="I19" s="10" t="n"/>
      <c r="J19" s="10" t="n"/>
    </row>
    <row r="20" ht="28" customHeight="1">
      <c r="A20" s="5" t="inlineStr">
        <is>
          <t>Мои товары</t>
        </is>
      </c>
      <c r="B20" s="10" t="n"/>
      <c r="C20" s="6" t="inlineStr">
        <is>
          <t>Корзина / избранное</t>
        </is>
      </c>
      <c r="D20" s="6" t="inlineStr">
        <is>
          <t>28 дн</t>
        </is>
      </c>
      <c r="E20" s="6" t="inlineStr">
        <is>
          <t>не купили товары категории за 90 дн</t>
        </is>
      </c>
      <c r="F20" s="10" t="n"/>
      <c r="G20" s="11" t="inlineStr">
        <is>
          <t>Дожать сильнее: скидка/промо, срок акции</t>
        </is>
      </c>
      <c r="H20" s="10" t="n"/>
      <c r="I20" s="10" t="n"/>
      <c r="J20" s="10" t="n"/>
    </row>
    <row r="21" ht="28" customHeight="1">
      <c r="A21" s="5" t="inlineStr">
        <is>
          <t>Вся категория</t>
        </is>
      </c>
      <c r="B21" s="10" t="n"/>
      <c r="C21" s="6" t="inlineStr">
        <is>
          <t>Посмотрели</t>
        </is>
      </c>
      <c r="D21" s="6" t="inlineStr">
        <is>
          <t>7 дн</t>
        </is>
      </c>
      <c r="E21" s="6" t="inlineStr">
        <is>
          <t>не купили товары категории за 90 дн</t>
        </is>
      </c>
      <c r="F21" s="10" t="n"/>
      <c r="G21" s="11" t="inlineStr">
        <is>
          <t>Не знают бренд: показать бренд и главное преимущество</t>
        </is>
      </c>
      <c r="H21" s="10" t="n"/>
      <c r="I21" s="10" t="n"/>
      <c r="J21" s="10" t="n"/>
    </row>
    <row r="22" ht="28" customHeight="1">
      <c r="A22" s="5" t="inlineStr">
        <is>
          <t>Вся категория</t>
        </is>
      </c>
      <c r="B22" s="10" t="n"/>
      <c r="C22" s="6" t="inlineStr">
        <is>
          <t>Посмотрели</t>
        </is>
      </c>
      <c r="D22" s="6" t="inlineStr">
        <is>
          <t>28 дн</t>
        </is>
      </c>
      <c r="E22" s="6" t="inlineStr">
        <is>
          <t>не купили товары категории за 90 дн</t>
        </is>
      </c>
      <c r="F22" s="10" t="n"/>
      <c r="G22" s="11" t="inlineStr">
        <is>
          <t>Широкая: бренд + УТП + цена</t>
        </is>
      </c>
      <c r="H22" s="10" t="n"/>
      <c r="I22" s="10" t="n"/>
      <c r="J22" s="10" t="n"/>
    </row>
    <row r="23" ht="28" customHeight="1">
      <c r="A23" s="5" t="inlineStr">
        <is>
          <t>Вся категория</t>
        </is>
      </c>
      <c r="B23" s="10" t="n"/>
      <c r="C23" s="6" t="inlineStr">
        <is>
          <t>Корзина / избранное</t>
        </is>
      </c>
      <c r="D23" s="6" t="inlineStr">
        <is>
          <t>7 дн</t>
        </is>
      </c>
      <c r="E23" s="6" t="inlineStr">
        <is>
          <t>не купили товары категории за 90 дн</t>
        </is>
      </c>
      <c r="F23" s="10" t="n"/>
      <c r="G23" s="11" t="inlineStr">
        <is>
          <t>Выбирают у конкурентов: почему мы лучше, выгода</t>
        </is>
      </c>
      <c r="H23" s="10" t="n"/>
      <c r="I23" s="10" t="n"/>
      <c r="J23" s="10" t="n"/>
    </row>
    <row r="24" ht="28" customHeight="1">
      <c r="A24" s="5" t="inlineStr">
        <is>
          <t>Вся категория</t>
        </is>
      </c>
      <c r="B24" s="10" t="n"/>
      <c r="C24" s="6" t="inlineStr">
        <is>
          <t>Корзина / избранное</t>
        </is>
      </c>
      <c r="D24" s="6" t="inlineStr">
        <is>
          <t>28 дн</t>
        </is>
      </c>
      <c r="E24" s="6" t="inlineStr">
        <is>
          <t>не купили товары категории за 90 дн</t>
        </is>
      </c>
      <c r="F24" s="10" t="n"/>
      <c r="G24" s="11" t="inlineStr">
        <is>
          <t>Перехват: УТП + сильное ценовое предложение</t>
        </is>
      </c>
      <c r="H24" s="10" t="n"/>
      <c r="I24" s="10" t="n"/>
      <c r="J24" s="10" t="n"/>
    </row>
    <row r="25" ht="28" customHeight="1">
      <c r="A25" s="5" t="inlineStr">
        <is>
          <t>Мои покупатели</t>
        </is>
      </c>
      <c r="B25" s="10" t="n"/>
      <c r="C25" s="6" t="inlineStr">
        <is>
          <t>Покупали мои товары</t>
        </is>
      </c>
      <c r="D25" s="6" t="inlineStr">
        <is>
          <t>7 / 28 / 90 / 365 дн</t>
        </is>
      </c>
      <c r="E25" s="6" t="inlineStr">
        <is>
          <t>—</t>
        </is>
      </c>
      <c r="F25" s="10" t="n"/>
      <c r="G25" s="11" t="inlineStr">
        <is>
          <t>Допродажа: сопутствующие товары, новинки, комплекты</t>
        </is>
      </c>
      <c r="H25" s="10" t="n"/>
      <c r="I25" s="10" t="n"/>
      <c r="J25" s="10" t="n"/>
    </row>
    <row r="27" ht="20" customHeight="1">
      <c r="A27" s="5" t="inlineStr">
        <is>
          <t>Мои сегменты (любой из списка выше)</t>
        </is>
      </c>
      <c r="B27" s="10" t="n"/>
      <c r="C27" s="11" t="inlineStr">
        <is>
          <t>Дополнительно сужаются по географии, полу и возрасту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20" customHeight="1">
      <c r="A28" s="5" t="inlineStr">
        <is>
          <t>Автоподбор аудитории</t>
        </is>
      </c>
      <c r="B28" s="10" t="n"/>
      <c r="C28" s="11" t="inlineStr">
        <is>
          <t>Ozon подбирает аудиторию сам; можно сузить по географии, полу и возрасту</t>
        </is>
      </c>
      <c r="D28" s="10" t="n"/>
      <c r="E28" s="10" t="n"/>
      <c r="F28" s="10" t="n"/>
      <c r="G28" s="10" t="n"/>
      <c r="H28" s="10" t="n"/>
      <c r="I28" s="10" t="n"/>
      <c r="J28" s="10" t="n"/>
    </row>
    <row r="30" ht="22" customHeight="1">
      <c r="A30" s="3" t="inlineStr">
        <is>
          <t>Общие требования к макету</t>
        </is>
      </c>
    </row>
    <row r="31" ht="15" customHeight="1">
      <c r="A31" s="8" t="inlineStr">
        <is>
          <t>•  Весь текст, заголовок, логотип, изображение товара и возрастные метки — строго ВНУТРИ охранной области.</t>
        </is>
      </c>
    </row>
    <row r="32" ht="15" customHeight="1">
      <c r="A32" s="8" t="inlineStr">
        <is>
          <t>•  Прозрачный фон запрещён — фон всегда сплошной/залитый (PNG без альфа-канала).</t>
        </is>
      </c>
    </row>
    <row r="33" ht="15" customHeight="1">
      <c r="A33" s="8" t="inlineStr">
        <is>
          <t>•  Изображения только высокого качества: без пикселизации, артефактов сжатия и искажения пропорций.</t>
        </is>
      </c>
    </row>
    <row r="34" ht="30" customHeight="1">
      <c r="A34" s="8" t="inlineStr">
        <is>
          <t>•  Текст крупный и контрастный к фону, читается без увеличения. Грамотный русский язык, без опечаток и сокращений (кроме общепринятых и ₽).</t>
        </is>
      </c>
    </row>
    <row r="35" ht="15" customHeight="1">
      <c r="A35" s="8" t="inlineStr">
        <is>
          <t>•  Иностранные слова — только с переводом на русский. Цены — в рублях.</t>
        </is>
      </c>
    </row>
    <row r="36" ht="15" customHeight="1">
      <c r="A36" s="8" t="inlineStr">
        <is>
          <t>•  Объект рекламы должен быть однозначно понятен с баннера.</t>
        </is>
      </c>
    </row>
    <row r="37" ht="15" customHeight="1">
      <c r="A37" s="8" t="inlineStr">
        <is>
          <t>•  Без превосходной степени («лучший», «самый…»), если нет подтверждающего исследования третьих лиц.</t>
        </is>
      </c>
    </row>
    <row r="39" ht="22" customHeight="1">
      <c r="A39" s="3" t="inlineStr">
        <is>
          <t>Нельзя размещать</t>
        </is>
      </c>
    </row>
    <row r="40" ht="15" customHeight="1">
      <c r="A40" s="12" t="inlineStr">
        <is>
          <t>•  Телефоны, e-mail, ссылки и URL (кроме Ozon и Ozon Travel), QR-коды на сторонние ресурсы.</t>
        </is>
      </c>
    </row>
    <row r="41" ht="15" customHeight="1">
      <c r="A41" s="12" t="inlineStr">
        <is>
          <t>•  Призывы писать в мессенджеры/соцсети, оставлять данные вне Ozon, кэшбэк/скидки/бонусы за отзыв за пределами Ozon.</t>
        </is>
      </c>
    </row>
    <row r="42" ht="30" customHeight="1">
      <c r="A42" s="12" t="inlineStr">
        <is>
          <t>•  Элементы интерфейса, вводящие в заблуждение: фейковые кнопки, кнопка «Play», имитация системных уведомлений и чужих приложений.</t>
        </is>
      </c>
    </row>
    <row r="43" ht="15" customHeight="1">
      <c r="A43" s="12" t="inlineStr">
        <is>
          <t>•  Недостоверные цены и скидки, некорректные сравнения с конкурентами.</t>
        </is>
      </c>
    </row>
    <row r="44" ht="15" customHeight="1">
      <c r="A44" s="12" t="inlineStr">
        <is>
          <t>•  Взрослый контент, бранные/жаргонные слова, политика, религия, эзотерика.</t>
        </is>
      </c>
    </row>
    <row r="46" ht="30" customHeight="1">
      <c r="A46" s="8" t="inlineStr">
        <is>
          <t>•  Если файл тяжелее лимита — сжать (TinyPNG и аналоги) и проверить, что текст не «поплыл». В кабинете Ozon есть шаблон баннера и шаблон в Figma.</t>
        </is>
      </c>
    </row>
    <row r="48">
      <c r="A48" s="13" t="inlineStr">
        <is>
          <t>Источник: Политика размещения рекламы Ozon, п. 3 и 7 — https://performance-help.ozon.ru/trebovaniya/pravila-razmeshcheniya-reklamy (проверено 20.10.2026)</t>
        </is>
      </c>
    </row>
  </sheetData>
  <mergeCells count="55">
    <mergeCell ref="A24:B24"/>
    <mergeCell ref="A32:J32"/>
    <mergeCell ref="E24:F24"/>
    <mergeCell ref="G20:J20"/>
    <mergeCell ref="E23:F23"/>
    <mergeCell ref="A4:J4"/>
    <mergeCell ref="G16:J16"/>
    <mergeCell ref="A33:J33"/>
    <mergeCell ref="A35:J35"/>
    <mergeCell ref="A43:J43"/>
    <mergeCell ref="G25:J25"/>
    <mergeCell ref="E17:F17"/>
    <mergeCell ref="A13:J13"/>
    <mergeCell ref="A44:J44"/>
    <mergeCell ref="G22:J22"/>
    <mergeCell ref="A16:B16"/>
    <mergeCell ref="E20:F20"/>
    <mergeCell ref="A31:J31"/>
    <mergeCell ref="A25:B25"/>
    <mergeCell ref="A40:J40"/>
    <mergeCell ref="E19:F19"/>
    <mergeCell ref="A30:J30"/>
    <mergeCell ref="A39:J39"/>
    <mergeCell ref="A34:J34"/>
    <mergeCell ref="A15:J15"/>
    <mergeCell ref="G21:J21"/>
    <mergeCell ref="A48:J48"/>
    <mergeCell ref="A18:B18"/>
    <mergeCell ref="A27:B27"/>
    <mergeCell ref="A11:J11"/>
    <mergeCell ref="A21:B21"/>
    <mergeCell ref="A36:J36"/>
    <mergeCell ref="G17:J17"/>
    <mergeCell ref="G23:J23"/>
    <mergeCell ref="C27:J27"/>
    <mergeCell ref="A17:B17"/>
    <mergeCell ref="A23:B23"/>
    <mergeCell ref="G19:J19"/>
    <mergeCell ref="A22:B22"/>
    <mergeCell ref="A41:J41"/>
    <mergeCell ref="A20:B20"/>
    <mergeCell ref="A37:J37"/>
    <mergeCell ref="G18:J18"/>
    <mergeCell ref="A46:J46"/>
    <mergeCell ref="E16:F16"/>
    <mergeCell ref="E25:F25"/>
    <mergeCell ref="A19:B19"/>
    <mergeCell ref="A28:B28"/>
    <mergeCell ref="A12:J12"/>
    <mergeCell ref="G24:J24"/>
    <mergeCell ref="E22:F22"/>
    <mergeCell ref="C28:J28"/>
    <mergeCell ref="E18:F18"/>
    <mergeCell ref="A42:J42"/>
    <mergeCell ref="E21:F2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Нативный баннер Ozon</t>
        </is>
      </c>
    </row>
    <row r="2">
      <c r="A2" s="2" t="inlineStr">
        <is>
          <t>Вертикальный баннер 3:4, встраивается в выдачу. Заголовок и описание вводятся текстом в кабинете.</t>
        </is>
      </c>
    </row>
    <row r="4" ht="22" customHeight="1">
      <c r="A4" s="3" t="inlineStr">
        <is>
          <t>Размеры, охранная область, вес</t>
        </is>
      </c>
    </row>
    <row r="5" ht="32" customHeight="1">
      <c r="A5" s="4" t="inlineStr">
        <is>
          <t>Место размещения</t>
        </is>
      </c>
      <c r="B5" s="4" t="inlineStr">
        <is>
          <t>Платформа</t>
        </is>
      </c>
      <c r="C5" s="4" t="inlineStr">
        <is>
          <t>Ширина, px</t>
        </is>
      </c>
      <c r="D5" s="4" t="inlineStr">
        <is>
          <t>Высота, px</t>
        </is>
      </c>
      <c r="E5" s="4" t="inlineStr">
        <is>
          <t>Охранная ширина, px</t>
        </is>
      </c>
      <c r="F5" s="4" t="inlineStr">
        <is>
          <t>Охранная высота, px</t>
        </is>
      </c>
      <c r="G5" s="4" t="inlineStr">
        <is>
          <t>Отступ слева/справа, px</t>
        </is>
      </c>
      <c r="H5" s="4" t="inlineStr">
        <is>
          <t>Отступ сверху/снизу, px</t>
        </is>
      </c>
      <c r="I5" s="4" t="inlineStr">
        <is>
          <t>Макс. вес</t>
        </is>
      </c>
      <c r="J5" s="4" t="inlineStr">
        <is>
          <t>Формат</t>
        </is>
      </c>
    </row>
    <row r="6">
      <c r="A6" s="5" t="inlineStr">
        <is>
          <t>Нативный баннер (3:4)</t>
        </is>
      </c>
      <c r="B6" s="6" t="inlineStr">
        <is>
          <t>Сайт и приложение</t>
        </is>
      </c>
      <c r="C6" s="6" t="n">
        <v>768</v>
      </c>
      <c r="D6" s="6" t="n">
        <v>1024</v>
      </c>
      <c r="E6" s="6" t="n">
        <v>768</v>
      </c>
      <c r="F6" s="6" t="n">
        <v>921</v>
      </c>
      <c r="G6" s="7">
        <f>(C6-E6)/2</f>
        <v/>
      </c>
      <c r="H6" s="7">
        <f>(D6-F6)/2</f>
        <v/>
      </c>
      <c r="I6" s="6" t="inlineStr">
        <is>
          <t>до 120 КБ</t>
        </is>
      </c>
      <c r="J6" s="6" t="inlineStr">
        <is>
          <t>JPG, PNG</t>
        </is>
      </c>
    </row>
    <row r="8" ht="22" customHeight="1">
      <c r="A8" s="3" t="inlineStr">
        <is>
          <t>Текст в кабинете</t>
        </is>
      </c>
    </row>
    <row r="9" ht="20" customHeight="1">
      <c r="A9" s="5" t="inlineStr">
        <is>
          <t>Заголовок</t>
        </is>
      </c>
      <c r="B9" s="10" t="n"/>
      <c r="C9" s="11" t="inlineStr">
        <is>
          <t>до 18 символов</t>
        </is>
      </c>
      <c r="D9" s="10" t="n"/>
      <c r="E9" s="10" t="n"/>
      <c r="F9" s="10" t="n"/>
      <c r="G9" s="10" t="n"/>
      <c r="H9" s="10" t="n"/>
      <c r="I9" s="10" t="n"/>
      <c r="J9" s="10" t="n"/>
    </row>
    <row r="10" ht="20" customHeight="1">
      <c r="A10" s="5" t="inlineStr">
        <is>
          <t>Описание</t>
        </is>
      </c>
      <c r="B10" s="10" t="n"/>
      <c r="C10" s="11" t="inlineStr">
        <is>
          <t>до 42 символов</t>
        </is>
      </c>
      <c r="D10" s="10" t="n"/>
      <c r="E10" s="10" t="n"/>
      <c r="F10" s="10" t="n"/>
      <c r="G10" s="10" t="n"/>
      <c r="H10" s="10" t="n"/>
      <c r="I10" s="10" t="n"/>
      <c r="J10" s="10" t="n"/>
    </row>
    <row r="12" ht="22" customHeight="1">
      <c r="A12" s="3" t="inlineStr">
        <is>
          <t>Особенности</t>
        </is>
      </c>
    </row>
    <row r="13" ht="15" customHeight="1">
      <c r="A13" s="8" t="inlineStr">
        <is>
          <t>•  Охранная область меньше макета только по высоте: 1024 → 921 px (минус 103 px). По ширине можно использовать все 768 px.</t>
        </is>
      </c>
    </row>
    <row r="14" ht="15" customHeight="1">
      <c r="A14" s="8" t="inlineStr">
        <is>
          <t>•  Важные элементы держать дальше от верхнего и нижнего края.</t>
        </is>
      </c>
    </row>
    <row r="16" ht="22" customHeight="1">
      <c r="A16" s="3" t="inlineStr">
        <is>
          <t>Настройки аудитории</t>
        </is>
      </c>
    </row>
    <row r="17" ht="24" customHeight="1">
      <c r="A17" s="4" t="inlineStr">
        <is>
          <t>Чьи товары</t>
        </is>
      </c>
      <c r="B17" s="9" t="n"/>
      <c r="C17" s="4" t="inlineStr">
        <is>
          <t>Действие</t>
        </is>
      </c>
      <c r="D17" s="4" t="inlineStr">
        <is>
          <t>Период</t>
        </is>
      </c>
      <c r="E17" s="4" t="inlineStr">
        <is>
          <t>Исключение</t>
        </is>
      </c>
      <c r="F17" s="9" t="n"/>
      <c r="G17" s="4" t="inlineStr">
        <is>
          <t>Идея креатива (рекомендация)</t>
        </is>
      </c>
      <c r="H17" s="9" t="n"/>
      <c r="I17" s="9" t="n"/>
      <c r="J17" s="9" t="n"/>
    </row>
    <row r="18" ht="28" customHeight="1">
      <c r="A18" s="5" t="inlineStr">
        <is>
          <t>Мои товары</t>
        </is>
      </c>
      <c r="B18" s="10" t="n"/>
      <c r="C18" s="6" t="inlineStr">
        <is>
          <t>Посмотрели</t>
        </is>
      </c>
      <c r="D18" s="6" t="inlineStr">
        <is>
          <t>7 дн</t>
        </is>
      </c>
      <c r="E18" s="6" t="inlineStr">
        <is>
          <t>не купили товары категории за 90 дн</t>
        </is>
      </c>
      <c r="F18" s="10" t="n"/>
      <c r="G18" s="11" t="inlineStr">
        <is>
          <t>Тёплые: напомнить о том же товаре, крупно товар + выгода</t>
        </is>
      </c>
      <c r="H18" s="10" t="n"/>
      <c r="I18" s="10" t="n"/>
      <c r="J18" s="10" t="n"/>
    </row>
    <row r="19" ht="28" customHeight="1">
      <c r="A19" s="5" t="inlineStr">
        <is>
          <t>Мои товары</t>
        </is>
      </c>
      <c r="B19" s="10" t="n"/>
      <c r="C19" s="6" t="inlineStr">
        <is>
          <t>Посмотрели</t>
        </is>
      </c>
      <c r="D19" s="6" t="inlineStr">
        <is>
          <t>28 дн</t>
        </is>
      </c>
      <c r="E19" s="6" t="inlineStr">
        <is>
          <t>не купили товары категории за 90 дн</t>
        </is>
      </c>
      <c r="F19" s="10" t="n"/>
      <c r="G19" s="11" t="inlineStr">
        <is>
          <t>Остыли: напомнить о товаре + повод вернуться (акция, новинка)</t>
        </is>
      </c>
      <c r="H19" s="10" t="n"/>
      <c r="I19" s="10" t="n"/>
      <c r="J19" s="10" t="n"/>
    </row>
    <row r="20" ht="28" customHeight="1">
      <c r="A20" s="5" t="inlineStr">
        <is>
          <t>Мои товары</t>
        </is>
      </c>
      <c r="B20" s="10" t="n"/>
      <c r="C20" s="6" t="inlineStr">
        <is>
          <t>Корзина / избранное</t>
        </is>
      </c>
      <c r="D20" s="6" t="inlineStr">
        <is>
          <t>7 дн</t>
        </is>
      </c>
      <c r="E20" s="6" t="inlineStr">
        <is>
          <t>не купили товары категории за 90 дн</t>
        </is>
      </c>
      <c r="F20" s="10" t="n"/>
      <c r="G20" s="11" t="inlineStr">
        <is>
          <t>Самые горячие: дожать — цена, скидка, «осталось мало»</t>
        </is>
      </c>
      <c r="H20" s="10" t="n"/>
      <c r="I20" s="10" t="n"/>
      <c r="J20" s="10" t="n"/>
    </row>
    <row r="21" ht="28" customHeight="1">
      <c r="A21" s="5" t="inlineStr">
        <is>
          <t>Мои товары</t>
        </is>
      </c>
      <c r="B21" s="10" t="n"/>
      <c r="C21" s="6" t="inlineStr">
        <is>
          <t>Корзина / избранное</t>
        </is>
      </c>
      <c r="D21" s="6" t="inlineStr">
        <is>
          <t>28 дн</t>
        </is>
      </c>
      <c r="E21" s="6" t="inlineStr">
        <is>
          <t>не купили товары категории за 90 дн</t>
        </is>
      </c>
      <c r="F21" s="10" t="n"/>
      <c r="G21" s="11" t="inlineStr">
        <is>
          <t>Дожать сильнее: скидка/промо, срок акции</t>
        </is>
      </c>
      <c r="H21" s="10" t="n"/>
      <c r="I21" s="10" t="n"/>
      <c r="J21" s="10" t="n"/>
    </row>
    <row r="22" ht="28" customHeight="1">
      <c r="A22" s="5" t="inlineStr">
        <is>
          <t>Вся категория</t>
        </is>
      </c>
      <c r="B22" s="10" t="n"/>
      <c r="C22" s="6" t="inlineStr">
        <is>
          <t>Посмотрели</t>
        </is>
      </c>
      <c r="D22" s="6" t="inlineStr">
        <is>
          <t>7 дн</t>
        </is>
      </c>
      <c r="E22" s="6" t="inlineStr">
        <is>
          <t>не купили товары категории за 90 дн</t>
        </is>
      </c>
      <c r="F22" s="10" t="n"/>
      <c r="G22" s="11" t="inlineStr">
        <is>
          <t>Не знают бренд: показать бренд и главное преимущество</t>
        </is>
      </c>
      <c r="H22" s="10" t="n"/>
      <c r="I22" s="10" t="n"/>
      <c r="J22" s="10" t="n"/>
    </row>
    <row r="23" ht="28" customHeight="1">
      <c r="A23" s="5" t="inlineStr">
        <is>
          <t>Вся категория</t>
        </is>
      </c>
      <c r="B23" s="10" t="n"/>
      <c r="C23" s="6" t="inlineStr">
        <is>
          <t>Посмотрели</t>
        </is>
      </c>
      <c r="D23" s="6" t="inlineStr">
        <is>
          <t>28 дн</t>
        </is>
      </c>
      <c r="E23" s="6" t="inlineStr">
        <is>
          <t>не купили товары категории за 90 дн</t>
        </is>
      </c>
      <c r="F23" s="10" t="n"/>
      <c r="G23" s="11" t="inlineStr">
        <is>
          <t>Широкая: бренд + УТП + цена</t>
        </is>
      </c>
      <c r="H23" s="10" t="n"/>
      <c r="I23" s="10" t="n"/>
      <c r="J23" s="10" t="n"/>
    </row>
    <row r="24" ht="28" customHeight="1">
      <c r="A24" s="5" t="inlineStr">
        <is>
          <t>Вся категория</t>
        </is>
      </c>
      <c r="B24" s="10" t="n"/>
      <c r="C24" s="6" t="inlineStr">
        <is>
          <t>Корзина / избранное</t>
        </is>
      </c>
      <c r="D24" s="6" t="inlineStr">
        <is>
          <t>7 дн</t>
        </is>
      </c>
      <c r="E24" s="6" t="inlineStr">
        <is>
          <t>не купили товары категории за 90 дн</t>
        </is>
      </c>
      <c r="F24" s="10" t="n"/>
      <c r="G24" s="11" t="inlineStr">
        <is>
          <t>Выбирают у конкурентов: почему мы лучше, выгода</t>
        </is>
      </c>
      <c r="H24" s="10" t="n"/>
      <c r="I24" s="10" t="n"/>
      <c r="J24" s="10" t="n"/>
    </row>
    <row r="25" ht="28" customHeight="1">
      <c r="A25" s="5" t="inlineStr">
        <is>
          <t>Вся категория</t>
        </is>
      </c>
      <c r="B25" s="10" t="n"/>
      <c r="C25" s="6" t="inlineStr">
        <is>
          <t>Корзина / избранное</t>
        </is>
      </c>
      <c r="D25" s="6" t="inlineStr">
        <is>
          <t>28 дн</t>
        </is>
      </c>
      <c r="E25" s="6" t="inlineStr">
        <is>
          <t>не купили товары категории за 90 дн</t>
        </is>
      </c>
      <c r="F25" s="10" t="n"/>
      <c r="G25" s="11" t="inlineStr">
        <is>
          <t>Перехват: УТП + сильное ценовое предложение</t>
        </is>
      </c>
      <c r="H25" s="10" t="n"/>
      <c r="I25" s="10" t="n"/>
      <c r="J25" s="10" t="n"/>
    </row>
    <row r="26" ht="28" customHeight="1">
      <c r="A26" s="5" t="inlineStr">
        <is>
          <t>Мои покупатели</t>
        </is>
      </c>
      <c r="B26" s="10" t="n"/>
      <c r="C26" s="6" t="inlineStr">
        <is>
          <t>Покупали мои товары</t>
        </is>
      </c>
      <c r="D26" s="6" t="inlineStr">
        <is>
          <t>7 / 28 / 90 / 365 дн</t>
        </is>
      </c>
      <c r="E26" s="6" t="inlineStr">
        <is>
          <t>—</t>
        </is>
      </c>
      <c r="F26" s="10" t="n"/>
      <c r="G26" s="11" t="inlineStr">
        <is>
          <t>Допродажа: сопутствующие товары, новинки, комплекты</t>
        </is>
      </c>
      <c r="H26" s="10" t="n"/>
      <c r="I26" s="10" t="n"/>
      <c r="J26" s="10" t="n"/>
    </row>
    <row r="28" ht="20" customHeight="1">
      <c r="A28" s="5" t="inlineStr">
        <is>
          <t>Мои сегменты (любой из списка выше)</t>
        </is>
      </c>
      <c r="B28" s="10" t="n"/>
      <c r="C28" s="11" t="inlineStr">
        <is>
          <t>Дополнительно сужаются по географии, полу и возрасту</t>
        </is>
      </c>
      <c r="D28" s="10" t="n"/>
      <c r="E28" s="10" t="n"/>
      <c r="F28" s="10" t="n"/>
      <c r="G28" s="10" t="n"/>
      <c r="H28" s="10" t="n"/>
      <c r="I28" s="10" t="n"/>
      <c r="J28" s="10" t="n"/>
    </row>
    <row r="29" ht="20" customHeight="1">
      <c r="A29" s="5" t="inlineStr">
        <is>
          <t>Автоподбор аудитории</t>
        </is>
      </c>
      <c r="B29" s="10" t="n"/>
      <c r="C29" s="11" t="inlineStr">
        <is>
          <t>Ozon подбирает аудиторию сам; можно сузить по географии, полу и возрасту</t>
        </is>
      </c>
      <c r="D29" s="10" t="n"/>
      <c r="E29" s="10" t="n"/>
      <c r="F29" s="10" t="n"/>
      <c r="G29" s="10" t="n"/>
      <c r="H29" s="10" t="n"/>
      <c r="I29" s="10" t="n"/>
      <c r="J29" s="10" t="n"/>
    </row>
    <row r="31" ht="22" customHeight="1">
      <c r="A31" s="3" t="inlineStr">
        <is>
          <t>Общие требования к макету</t>
        </is>
      </c>
    </row>
    <row r="32" ht="15" customHeight="1">
      <c r="A32" s="8" t="inlineStr">
        <is>
          <t>•  Весь текст, заголовок, логотип, изображение товара и возрастные метки — строго ВНУТРИ охранной области.</t>
        </is>
      </c>
    </row>
    <row r="33" ht="15" customHeight="1">
      <c r="A33" s="8" t="inlineStr">
        <is>
          <t>•  Прозрачный фон запрещён — фон всегда сплошной/залитый (PNG без альфа-канала).</t>
        </is>
      </c>
    </row>
    <row r="34" ht="15" customHeight="1">
      <c r="A34" s="8" t="inlineStr">
        <is>
          <t>•  Изображения только высокого качества: без пикселизации, артефактов сжатия и искажения пропорций.</t>
        </is>
      </c>
    </row>
    <row r="35" ht="30" customHeight="1">
      <c r="A35" s="8" t="inlineStr">
        <is>
          <t>•  Текст крупный и контрастный к фону, читается без увеличения. Грамотный русский язык, без опечаток и сокращений (кроме общепринятых и ₽).</t>
        </is>
      </c>
    </row>
    <row r="36" ht="15" customHeight="1">
      <c r="A36" s="8" t="inlineStr">
        <is>
          <t>•  Иностранные слова — только с переводом на русский. Цены — в рублях.</t>
        </is>
      </c>
    </row>
    <row r="37" ht="15" customHeight="1">
      <c r="A37" s="8" t="inlineStr">
        <is>
          <t>•  Объект рекламы должен быть однозначно понятен с баннера.</t>
        </is>
      </c>
    </row>
    <row r="38" ht="15" customHeight="1">
      <c r="A38" s="8" t="inlineStr">
        <is>
          <t>•  Без превосходной степени («лучший», «самый…»), если нет подтверждающего исследования третьих лиц.</t>
        </is>
      </c>
    </row>
    <row r="40" ht="22" customHeight="1">
      <c r="A40" s="3" t="inlineStr">
        <is>
          <t>Нельзя размещать</t>
        </is>
      </c>
    </row>
    <row r="41" ht="15" customHeight="1">
      <c r="A41" s="12" t="inlineStr">
        <is>
          <t>•  Телефоны, e-mail, ссылки и URL (кроме Ozon и Ozon Travel), QR-коды на сторонние ресурсы.</t>
        </is>
      </c>
    </row>
    <row r="42" ht="15" customHeight="1">
      <c r="A42" s="12" t="inlineStr">
        <is>
          <t>•  Призывы писать в мессенджеры/соцсети, оставлять данные вне Ozon, кэшбэк/скидки/бонусы за отзыв за пределами Ozon.</t>
        </is>
      </c>
    </row>
    <row r="43" ht="30" customHeight="1">
      <c r="A43" s="12" t="inlineStr">
        <is>
          <t>•  Элементы интерфейса, вводящие в заблуждение: фейковые кнопки, кнопка «Play», имитация системных уведомлений и чужих приложений.</t>
        </is>
      </c>
    </row>
    <row r="44" ht="15" customHeight="1">
      <c r="A44" s="12" t="inlineStr">
        <is>
          <t>•  Недостоверные цены и скидки, некорректные сравнения с конкурентами.</t>
        </is>
      </c>
    </row>
    <row r="45" ht="15" customHeight="1">
      <c r="A45" s="12" t="inlineStr">
        <is>
          <t>•  Взрослый контент, бранные/жаргонные слова, политика, религия, эзотерика.</t>
        </is>
      </c>
    </row>
    <row r="47">
      <c r="A47" s="13" t="inlineStr">
        <is>
          <t>Источник: Политика размещения рекламы Ozon, п. 3 и 7 — https://performance-help.ozon.ru/trebovaniya/pravila-razmeshcheniya-reklamy (проверено 20.10.2026)</t>
        </is>
      </c>
    </row>
  </sheetData>
  <mergeCells count="59">
    <mergeCell ref="A47:J47"/>
    <mergeCell ref="A24:B24"/>
    <mergeCell ref="A32:J32"/>
    <mergeCell ref="A8:J8"/>
    <mergeCell ref="A14:J14"/>
    <mergeCell ref="G26:J26"/>
    <mergeCell ref="E24:F24"/>
    <mergeCell ref="G20:J20"/>
    <mergeCell ref="E23:F23"/>
    <mergeCell ref="A4:J4"/>
    <mergeCell ref="A33:J33"/>
    <mergeCell ref="A35:J35"/>
    <mergeCell ref="A38:J38"/>
    <mergeCell ref="A43:J43"/>
    <mergeCell ref="G25:J25"/>
    <mergeCell ref="E17:F17"/>
    <mergeCell ref="A13:J13"/>
    <mergeCell ref="A44:J44"/>
    <mergeCell ref="G22:J22"/>
    <mergeCell ref="E20:F20"/>
    <mergeCell ref="C29:J29"/>
    <mergeCell ref="A31:J31"/>
    <mergeCell ref="A25:B25"/>
    <mergeCell ref="A40:J40"/>
    <mergeCell ref="E19:F19"/>
    <mergeCell ref="C10:J10"/>
    <mergeCell ref="A34:J34"/>
    <mergeCell ref="G21:J21"/>
    <mergeCell ref="A18:B18"/>
    <mergeCell ref="C9:J9"/>
    <mergeCell ref="A26:B26"/>
    <mergeCell ref="A21:B21"/>
    <mergeCell ref="A45:J45"/>
    <mergeCell ref="A36:J36"/>
    <mergeCell ref="G17:J17"/>
    <mergeCell ref="G23:J23"/>
    <mergeCell ref="A17:B17"/>
    <mergeCell ref="A16:J16"/>
    <mergeCell ref="A23:B23"/>
    <mergeCell ref="E26:F26"/>
    <mergeCell ref="G19:J19"/>
    <mergeCell ref="A22:B22"/>
    <mergeCell ref="A41:J41"/>
    <mergeCell ref="A20:B20"/>
    <mergeCell ref="A37:J37"/>
    <mergeCell ref="G18:J18"/>
    <mergeCell ref="A29:B29"/>
    <mergeCell ref="E25:F25"/>
    <mergeCell ref="A19:B19"/>
    <mergeCell ref="A10:B10"/>
    <mergeCell ref="A28:B28"/>
    <mergeCell ref="A12:J12"/>
    <mergeCell ref="G24:J24"/>
    <mergeCell ref="E22:F22"/>
    <mergeCell ref="C28:J28"/>
    <mergeCell ref="A9:B9"/>
    <mergeCell ref="E18:F18"/>
    <mergeCell ref="A42:J42"/>
    <mergeCell ref="E21:F2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Оффервол Ozon</t>
        </is>
      </c>
    </row>
    <row r="2">
      <c r="A2" s="2" t="inlineStr">
        <is>
          <t>Квадратный баннер в приложении Ozon.</t>
        </is>
      </c>
    </row>
    <row r="4" ht="22" customHeight="1">
      <c r="A4" s="3" t="inlineStr">
        <is>
          <t>Размеры, охранная область, вес</t>
        </is>
      </c>
    </row>
    <row r="5" ht="32" customHeight="1">
      <c r="A5" s="4" t="inlineStr">
        <is>
          <t>Место размещения</t>
        </is>
      </c>
      <c r="B5" s="4" t="inlineStr">
        <is>
          <t>Платформа</t>
        </is>
      </c>
      <c r="C5" s="4" t="inlineStr">
        <is>
          <t>Ширина, px</t>
        </is>
      </c>
      <c r="D5" s="4" t="inlineStr">
        <is>
          <t>Высота, px</t>
        </is>
      </c>
      <c r="E5" s="4" t="inlineStr">
        <is>
          <t>Охранная ширина, px</t>
        </is>
      </c>
      <c r="F5" s="4" t="inlineStr">
        <is>
          <t>Охранная высота, px</t>
        </is>
      </c>
      <c r="G5" s="4" t="inlineStr">
        <is>
          <t>Отступ слева/справа, px</t>
        </is>
      </c>
      <c r="H5" s="4" t="inlineStr">
        <is>
          <t>Отступ сверху/снизу, px</t>
        </is>
      </c>
      <c r="I5" s="4" t="inlineStr">
        <is>
          <t>Макс. вес</t>
        </is>
      </c>
      <c r="J5" s="4" t="inlineStr">
        <is>
          <t>Формат</t>
        </is>
      </c>
    </row>
    <row r="6">
      <c r="A6" s="5" t="inlineStr">
        <is>
          <t>Оффервол</t>
        </is>
      </c>
      <c r="B6" s="6" t="inlineStr">
        <is>
          <t>Приложение</t>
        </is>
      </c>
      <c r="C6" s="6" t="n">
        <v>400</v>
      </c>
      <c r="D6" s="6" t="n">
        <v>400</v>
      </c>
      <c r="E6" s="6" t="n">
        <v>350</v>
      </c>
      <c r="F6" s="6" t="n">
        <v>350</v>
      </c>
      <c r="G6" s="7">
        <f>(C6-E6)/2</f>
        <v/>
      </c>
      <c r="H6" s="7">
        <f>(D6-F6)/2</f>
        <v/>
      </c>
      <c r="I6" s="6" t="inlineStr">
        <is>
          <t>до 100 КБ</t>
        </is>
      </c>
      <c r="J6" s="6" t="inlineStr">
        <is>
          <t>JPG, JPEG, PNG</t>
        </is>
      </c>
    </row>
    <row r="8" ht="22" customHeight="1">
      <c r="A8" s="3" t="inlineStr">
        <is>
          <t>Особенности</t>
        </is>
      </c>
    </row>
    <row r="9" ht="30" customHeight="1">
      <c r="A9" s="8" t="inlineStr">
        <is>
          <t>•  Метка «Реклама» на оффервол НЕ ставится — правый верхний угол можно использовать, но только в пределах охранной области 350 × 350.</t>
        </is>
      </c>
    </row>
    <row r="10" ht="15" customHeight="1">
      <c r="A10" s="8" t="inlineStr">
        <is>
          <t>•  Баннер маленький: минимум текста, крупный товар, читаемый шрифт.</t>
        </is>
      </c>
    </row>
    <row r="11" ht="15" customHeight="1">
      <c r="A11" s="8" t="inlineStr">
        <is>
          <t>•  Самый жёсткий лимит веса — 100 КБ.</t>
        </is>
      </c>
    </row>
    <row r="13" ht="22" customHeight="1">
      <c r="A13" s="3" t="inlineStr">
        <is>
          <t>Настройки аудитории</t>
        </is>
      </c>
    </row>
    <row r="14" ht="20" customHeight="1">
      <c r="A14" s="5" t="inlineStr">
        <is>
          <t>Доступные сегменты</t>
        </is>
      </c>
      <c r="B14" s="10" t="n"/>
      <c r="C14" s="14" t="inlineStr">
        <is>
          <t>уточнить, какие настройки аудитории есть для этого формата</t>
        </is>
      </c>
      <c r="D14" s="10" t="n"/>
      <c r="E14" s="10" t="n"/>
      <c r="F14" s="10" t="n"/>
      <c r="G14" s="10" t="n"/>
      <c r="H14" s="10" t="n"/>
      <c r="I14" s="10" t="n"/>
      <c r="J14" s="10" t="n"/>
    </row>
    <row r="16" ht="22" customHeight="1">
      <c r="A16" s="3" t="inlineStr">
        <is>
          <t>Общие требования к макету</t>
        </is>
      </c>
    </row>
    <row r="17" ht="15" customHeight="1">
      <c r="A17" s="8" t="inlineStr">
        <is>
          <t>•  Весь текст, заголовок, логотип, изображение товара и возрастные метки — строго ВНУТРИ охранной области.</t>
        </is>
      </c>
    </row>
    <row r="18" ht="15" customHeight="1">
      <c r="A18" s="8" t="inlineStr">
        <is>
          <t>•  Прозрачный фон запрещён — фон всегда сплошной/залитый (PNG без альфа-канала).</t>
        </is>
      </c>
    </row>
    <row r="19" ht="15" customHeight="1">
      <c r="A19" s="8" t="inlineStr">
        <is>
          <t>•  Изображения только высокого качества: без пикселизации, артефактов сжатия и искажения пропорций.</t>
        </is>
      </c>
    </row>
    <row r="20" ht="30" customHeight="1">
      <c r="A20" s="8" t="inlineStr">
        <is>
          <t>•  Текст крупный и контрастный к фону, читается без увеличения. Грамотный русский язык, без опечаток и сокращений (кроме общепринятых и ₽).</t>
        </is>
      </c>
    </row>
    <row r="21" ht="15" customHeight="1">
      <c r="A21" s="8" t="inlineStr">
        <is>
          <t>•  Иностранные слова — только с переводом на русский. Цены — в рублях.</t>
        </is>
      </c>
    </row>
    <row r="22" ht="15" customHeight="1">
      <c r="A22" s="8" t="inlineStr">
        <is>
          <t>•  Объект рекламы должен быть однозначно понятен с баннера.</t>
        </is>
      </c>
    </row>
    <row r="23" ht="15" customHeight="1">
      <c r="A23" s="8" t="inlineStr">
        <is>
          <t>•  Без превосходной степени («лучший», «самый…»), если нет подтверждающего исследования третьих лиц.</t>
        </is>
      </c>
    </row>
    <row r="25" ht="22" customHeight="1">
      <c r="A25" s="3" t="inlineStr">
        <is>
          <t>Нельзя размещать</t>
        </is>
      </c>
    </row>
    <row r="26" ht="15" customHeight="1">
      <c r="A26" s="12" t="inlineStr">
        <is>
          <t>•  Телефоны, e-mail, ссылки и URL (кроме Ozon и Ozon Travel), QR-коды на сторонние ресурсы.</t>
        </is>
      </c>
    </row>
    <row r="27" ht="15" customHeight="1">
      <c r="A27" s="12" t="inlineStr">
        <is>
          <t>•  Призывы писать в мессенджеры/соцсети, оставлять данные вне Ozon, кэшбэк/скидки/бонусы за отзыв за пределами Ozon.</t>
        </is>
      </c>
    </row>
    <row r="28" ht="30" customHeight="1">
      <c r="A28" s="12" t="inlineStr">
        <is>
          <t>•  Элементы интерфейса, вводящие в заблуждение: фейковые кнопки, кнопка «Play», имитация системных уведомлений и чужих приложений.</t>
        </is>
      </c>
    </row>
    <row r="29" ht="15" customHeight="1">
      <c r="A29" s="12" t="inlineStr">
        <is>
          <t>•  Недостоверные цены и скидки, некорректные сравнения с конкурентами.</t>
        </is>
      </c>
    </row>
    <row r="30" ht="15" customHeight="1">
      <c r="A30" s="12" t="inlineStr">
        <is>
          <t>•  Взрослый контент, бранные/жаргонные слова, политика, религия, эзотерика.</t>
        </is>
      </c>
    </row>
    <row r="32">
      <c r="A32" s="13" t="inlineStr">
        <is>
          <t>Источник: Политика размещения рекламы Ozon, п. 3 и 7 — https://performance-help.ozon.ru/trebovaniya/pravila-razmeshcheniya-reklamy (проверено 20.10.2026)</t>
        </is>
      </c>
    </row>
  </sheetData>
  <mergeCells count="23">
    <mergeCell ref="A23:J23"/>
    <mergeCell ref="A32:J32"/>
    <mergeCell ref="A8:J8"/>
    <mergeCell ref="A22:J22"/>
    <mergeCell ref="A17:J17"/>
    <mergeCell ref="A29:J29"/>
    <mergeCell ref="A4:J4"/>
    <mergeCell ref="C14:J14"/>
    <mergeCell ref="A20:J20"/>
    <mergeCell ref="A10:J10"/>
    <mergeCell ref="A28:J28"/>
    <mergeCell ref="A19:J19"/>
    <mergeCell ref="A13:J13"/>
    <mergeCell ref="A9:J9"/>
    <mergeCell ref="A30:J30"/>
    <mergeCell ref="A11:J11"/>
    <mergeCell ref="A14:B14"/>
    <mergeCell ref="A16:J16"/>
    <mergeCell ref="A25:J25"/>
    <mergeCell ref="A18:J18"/>
    <mergeCell ref="A27:J27"/>
    <mergeCell ref="A21:J21"/>
    <mergeCell ref="A26:J2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Видеобаннер Ozon</t>
        </is>
      </c>
    </row>
    <row r="2">
      <c r="A2" s="2" t="inlineStr">
        <is>
          <t>Горизонтальный ролик 16:9 для медийной рекламы.</t>
        </is>
      </c>
    </row>
    <row r="4" ht="22" customHeight="1">
      <c r="A4" s="3" t="inlineStr">
        <is>
          <t>Технические параметры</t>
        </is>
      </c>
    </row>
    <row r="5" ht="20" customHeight="1">
      <c r="A5" s="5" t="inlineStr">
        <is>
          <t>Соотношение сторон</t>
        </is>
      </c>
      <c r="B5" s="10" t="n"/>
      <c r="C5" s="11" t="inlineStr">
        <is>
          <t>16 : 9 (горизонтальное)</t>
        </is>
      </c>
      <c r="D5" s="10" t="n"/>
      <c r="E5" s="10" t="n"/>
      <c r="F5" s="10" t="n"/>
      <c r="G5" s="10" t="n"/>
      <c r="H5" s="10" t="n"/>
      <c r="I5" s="10" t="n"/>
      <c r="J5" s="10" t="n"/>
    </row>
    <row r="6" ht="20" customHeight="1">
      <c r="A6" s="5" t="inlineStr">
        <is>
          <t>Разрешение</t>
        </is>
      </c>
      <c r="B6" s="10" t="n"/>
      <c r="C6" s="11" t="inlineStr">
        <is>
          <t>от 960 × 540 до 1920 × 1080 px (рекомендуем 1920 × 1080)</t>
        </is>
      </c>
      <c r="D6" s="10" t="n"/>
      <c r="E6" s="10" t="n"/>
      <c r="F6" s="10" t="n"/>
      <c r="G6" s="10" t="n"/>
      <c r="H6" s="10" t="n"/>
      <c r="I6" s="10" t="n"/>
      <c r="J6" s="10" t="n"/>
    </row>
    <row r="7" ht="20" customHeight="1">
      <c r="A7" s="5" t="inlineStr">
        <is>
          <t>Длительность</t>
        </is>
      </c>
      <c r="B7" s="10" t="n"/>
      <c r="C7" s="11" t="inlineStr">
        <is>
          <t>до 30 секунд; рекомендуем не больше 15 секунд — так ролик чаще досматривают</t>
        </is>
      </c>
      <c r="D7" s="10" t="n"/>
      <c r="E7" s="10" t="n"/>
      <c r="F7" s="10" t="n"/>
      <c r="G7" s="10" t="n"/>
      <c r="H7" s="10" t="n"/>
      <c r="I7" s="10" t="n"/>
      <c r="J7" s="10" t="n"/>
    </row>
    <row r="8" ht="20" customHeight="1">
      <c r="A8" s="5" t="inlineStr">
        <is>
          <t>Вес файла</t>
        </is>
      </c>
      <c r="B8" s="10" t="n"/>
      <c r="C8" s="11" t="inlineStr">
        <is>
          <t>до 50 МБ (чем легче, тем быстрее загрузится)</t>
        </is>
      </c>
      <c r="D8" s="10" t="n"/>
      <c r="E8" s="10" t="n"/>
      <c r="F8" s="10" t="n"/>
      <c r="G8" s="10" t="n"/>
      <c r="H8" s="10" t="n"/>
      <c r="I8" s="10" t="n"/>
      <c r="J8" s="10" t="n"/>
    </row>
    <row r="9" ht="20" customHeight="1">
      <c r="A9" s="5" t="inlineStr">
        <is>
          <t>Кодек</t>
        </is>
      </c>
      <c r="B9" s="10" t="n"/>
      <c r="C9" s="11" t="inlineStr">
        <is>
          <t>H.264 (контейнер MP4)</t>
        </is>
      </c>
      <c r="D9" s="10" t="n"/>
      <c r="E9" s="10" t="n"/>
      <c r="F9" s="10" t="n"/>
      <c r="G9" s="10" t="n"/>
      <c r="H9" s="10" t="n"/>
      <c r="I9" s="10" t="n"/>
      <c r="J9" s="10" t="n"/>
    </row>
    <row r="11" ht="22" customHeight="1">
      <c r="A11" s="3" t="inlineStr">
        <is>
          <t>Требования к содержанию ролика</t>
        </is>
      </c>
    </row>
    <row r="12" ht="15" customHeight="1">
      <c r="A12" s="8" t="inlineStr">
        <is>
          <t>•  Текст в кадре — чёткий, контрастный, не сливается с фоном; держится на экране достаточно, чтобы его прочитать.</t>
        </is>
      </c>
    </row>
    <row r="13" ht="15" customHeight="1">
      <c r="A13" s="8" t="inlineStr">
        <is>
          <t>•  Все надписи, логотип и возрастные метки — внутри охранной области кадра, не у самых краёв.</t>
        </is>
      </c>
    </row>
    <row r="14" ht="15" customHeight="1">
      <c r="A14" s="8" t="inlineStr">
        <is>
          <t>•  Нельзя рисовать кнопку «Play» и другие элементы интерфейса, имитирующие плеер, уведомления или чужие приложения.</t>
        </is>
      </c>
    </row>
    <row r="15" ht="15" customHeight="1">
      <c r="A15" s="8" t="inlineStr">
        <is>
          <t>•  Только качественная картинка: без пикселизации и растянутых кадров.</t>
        </is>
      </c>
    </row>
    <row r="17" ht="22" customHeight="1">
      <c r="A17" s="3" t="inlineStr">
        <is>
          <t>Рекомендации (практика, не официальное требование Ozon)</t>
        </is>
      </c>
    </row>
    <row r="18" ht="15" customHeight="1">
      <c r="A18" s="8" t="inlineStr">
        <is>
          <t>•  Ролик должен быть понятен без звука: ключевой посыл — титрами/графикой.</t>
        </is>
      </c>
    </row>
    <row r="19" ht="15" customHeight="1">
      <c r="A19" s="8" t="inlineStr">
        <is>
          <t>•  Товар и бренд — в первые 2–3 секунды.</t>
        </is>
      </c>
    </row>
    <row r="20" ht="15" customHeight="1">
      <c r="A20" s="8" t="inlineStr">
        <is>
          <t>•  Правый верхний угол не перегружать — по аналогии с баннерами там может быть метка «Реклама».</t>
        </is>
      </c>
    </row>
    <row r="22" ht="22" customHeight="1">
      <c r="A22" s="3" t="inlineStr">
        <is>
          <t>Настройки аудитории</t>
        </is>
      </c>
    </row>
    <row r="23" ht="24" customHeight="1">
      <c r="A23" s="4" t="inlineStr">
        <is>
          <t>Чьи товары</t>
        </is>
      </c>
      <c r="B23" s="9" t="n"/>
      <c r="C23" s="4" t="inlineStr">
        <is>
          <t>Действие</t>
        </is>
      </c>
      <c r="D23" s="4" t="inlineStr">
        <is>
          <t>Период</t>
        </is>
      </c>
      <c r="E23" s="4" t="inlineStr">
        <is>
          <t>Исключение</t>
        </is>
      </c>
      <c r="F23" s="9" t="n"/>
      <c r="G23" s="4" t="inlineStr">
        <is>
          <t>Идея креатива (рекомендация)</t>
        </is>
      </c>
      <c r="H23" s="9" t="n"/>
      <c r="I23" s="9" t="n"/>
      <c r="J23" s="9" t="n"/>
    </row>
    <row r="24" ht="28" customHeight="1">
      <c r="A24" s="5" t="inlineStr">
        <is>
          <t>Мои товары</t>
        </is>
      </c>
      <c r="B24" s="10" t="n"/>
      <c r="C24" s="6" t="inlineStr">
        <is>
          <t>Посмотрели</t>
        </is>
      </c>
      <c r="D24" s="6" t="inlineStr">
        <is>
          <t>7 дн</t>
        </is>
      </c>
      <c r="E24" s="6" t="inlineStr">
        <is>
          <t>не купили товары категории за 90 дн</t>
        </is>
      </c>
      <c r="F24" s="10" t="n"/>
      <c r="G24" s="11" t="inlineStr">
        <is>
          <t>Тёплые: напомнить о том же товаре, крупно товар + выгода</t>
        </is>
      </c>
      <c r="H24" s="10" t="n"/>
      <c r="I24" s="10" t="n"/>
      <c r="J24" s="10" t="n"/>
    </row>
    <row r="25" ht="28" customHeight="1">
      <c r="A25" s="5" t="inlineStr">
        <is>
          <t>Мои товары</t>
        </is>
      </c>
      <c r="B25" s="10" t="n"/>
      <c r="C25" s="6" t="inlineStr">
        <is>
          <t>Посмотрели</t>
        </is>
      </c>
      <c r="D25" s="6" t="inlineStr">
        <is>
          <t>28 дн</t>
        </is>
      </c>
      <c r="E25" s="6" t="inlineStr">
        <is>
          <t>не купили товары категории за 90 дн</t>
        </is>
      </c>
      <c r="F25" s="10" t="n"/>
      <c r="G25" s="11" t="inlineStr">
        <is>
          <t>Остыли: напомнить о товаре + повод вернуться (акция, новинка)</t>
        </is>
      </c>
      <c r="H25" s="10" t="n"/>
      <c r="I25" s="10" t="n"/>
      <c r="J25" s="10" t="n"/>
    </row>
    <row r="26" ht="28" customHeight="1">
      <c r="A26" s="5" t="inlineStr">
        <is>
          <t>Мои товары</t>
        </is>
      </c>
      <c r="B26" s="10" t="n"/>
      <c r="C26" s="6" t="inlineStr">
        <is>
          <t>Корзина / избранное</t>
        </is>
      </c>
      <c r="D26" s="6" t="inlineStr">
        <is>
          <t>7 дн</t>
        </is>
      </c>
      <c r="E26" s="6" t="inlineStr">
        <is>
          <t>не купили товары категории за 90 дн</t>
        </is>
      </c>
      <c r="F26" s="10" t="n"/>
      <c r="G26" s="11" t="inlineStr">
        <is>
          <t>Самые горячие: дожать — цена, скидка, «осталось мало»</t>
        </is>
      </c>
      <c r="H26" s="10" t="n"/>
      <c r="I26" s="10" t="n"/>
      <c r="J26" s="10" t="n"/>
    </row>
    <row r="27" ht="28" customHeight="1">
      <c r="A27" s="5" t="inlineStr">
        <is>
          <t>Мои товары</t>
        </is>
      </c>
      <c r="B27" s="10" t="n"/>
      <c r="C27" s="6" t="inlineStr">
        <is>
          <t>Корзина / избранное</t>
        </is>
      </c>
      <c r="D27" s="6" t="inlineStr">
        <is>
          <t>28 дн</t>
        </is>
      </c>
      <c r="E27" s="6" t="inlineStr">
        <is>
          <t>не купили товары категории за 90 дн</t>
        </is>
      </c>
      <c r="F27" s="10" t="n"/>
      <c r="G27" s="11" t="inlineStr">
        <is>
          <t>Дожать сильнее: скидка/промо, срок акции</t>
        </is>
      </c>
      <c r="H27" s="10" t="n"/>
      <c r="I27" s="10" t="n"/>
      <c r="J27" s="10" t="n"/>
    </row>
    <row r="28" ht="28" customHeight="1">
      <c r="A28" s="5" t="inlineStr">
        <is>
          <t>Вся категория</t>
        </is>
      </c>
      <c r="B28" s="10" t="n"/>
      <c r="C28" s="6" t="inlineStr">
        <is>
          <t>Посмотрели</t>
        </is>
      </c>
      <c r="D28" s="6" t="inlineStr">
        <is>
          <t>7 дн</t>
        </is>
      </c>
      <c r="E28" s="6" t="inlineStr">
        <is>
          <t>не купили товары категории за 90 дн</t>
        </is>
      </c>
      <c r="F28" s="10" t="n"/>
      <c r="G28" s="11" t="inlineStr">
        <is>
          <t>Не знают бренд: показать бренд и главное преимущество</t>
        </is>
      </c>
      <c r="H28" s="10" t="n"/>
      <c r="I28" s="10" t="n"/>
      <c r="J28" s="10" t="n"/>
    </row>
    <row r="29" ht="28" customHeight="1">
      <c r="A29" s="5" t="inlineStr">
        <is>
          <t>Вся категория</t>
        </is>
      </c>
      <c r="B29" s="10" t="n"/>
      <c r="C29" s="6" t="inlineStr">
        <is>
          <t>Посмотрели</t>
        </is>
      </c>
      <c r="D29" s="6" t="inlineStr">
        <is>
          <t>28 дн</t>
        </is>
      </c>
      <c r="E29" s="6" t="inlineStr">
        <is>
          <t>не купили товары категории за 90 дн</t>
        </is>
      </c>
      <c r="F29" s="10" t="n"/>
      <c r="G29" s="11" t="inlineStr">
        <is>
          <t>Широкая: бренд + УТП + цена</t>
        </is>
      </c>
      <c r="H29" s="10" t="n"/>
      <c r="I29" s="10" t="n"/>
      <c r="J29" s="10" t="n"/>
    </row>
    <row r="30" ht="28" customHeight="1">
      <c r="A30" s="5" t="inlineStr">
        <is>
          <t>Вся категория</t>
        </is>
      </c>
      <c r="B30" s="10" t="n"/>
      <c r="C30" s="6" t="inlineStr">
        <is>
          <t>Корзина / избранное</t>
        </is>
      </c>
      <c r="D30" s="6" t="inlineStr">
        <is>
          <t>7 дн</t>
        </is>
      </c>
      <c r="E30" s="6" t="inlineStr">
        <is>
          <t>не купили товары категории за 90 дн</t>
        </is>
      </c>
      <c r="F30" s="10" t="n"/>
      <c r="G30" s="11" t="inlineStr">
        <is>
          <t>Выбирают у конкурентов: почему мы лучше, выгода</t>
        </is>
      </c>
      <c r="H30" s="10" t="n"/>
      <c r="I30" s="10" t="n"/>
      <c r="J30" s="10" t="n"/>
    </row>
    <row r="31" ht="28" customHeight="1">
      <c r="A31" s="5" t="inlineStr">
        <is>
          <t>Вся категория</t>
        </is>
      </c>
      <c r="B31" s="10" t="n"/>
      <c r="C31" s="6" t="inlineStr">
        <is>
          <t>Корзина / избранное</t>
        </is>
      </c>
      <c r="D31" s="6" t="inlineStr">
        <is>
          <t>28 дн</t>
        </is>
      </c>
      <c r="E31" s="6" t="inlineStr">
        <is>
          <t>не купили товары категории за 90 дн</t>
        </is>
      </c>
      <c r="F31" s="10" t="n"/>
      <c r="G31" s="11" t="inlineStr">
        <is>
          <t>Перехват: УТП + сильное ценовое предложение</t>
        </is>
      </c>
      <c r="H31" s="10" t="n"/>
      <c r="I31" s="10" t="n"/>
      <c r="J31" s="10" t="n"/>
    </row>
    <row r="32" ht="28" customHeight="1">
      <c r="A32" s="5" t="inlineStr">
        <is>
          <t>Мои покупатели</t>
        </is>
      </c>
      <c r="B32" s="10" t="n"/>
      <c r="C32" s="6" t="inlineStr">
        <is>
          <t>Покупали мои товары</t>
        </is>
      </c>
      <c r="D32" s="6" t="inlineStr">
        <is>
          <t>7 / 28 / 90 / 365 дн</t>
        </is>
      </c>
      <c r="E32" s="6" t="inlineStr">
        <is>
          <t>—</t>
        </is>
      </c>
      <c r="F32" s="10" t="n"/>
      <c r="G32" s="11" t="inlineStr">
        <is>
          <t>Допродажа: сопутствующие товары, новинки, комплекты</t>
        </is>
      </c>
      <c r="H32" s="10" t="n"/>
      <c r="I32" s="10" t="n"/>
      <c r="J32" s="10" t="n"/>
    </row>
    <row r="34" ht="20" customHeight="1">
      <c r="A34" s="5" t="inlineStr">
        <is>
          <t>Мои сегменты (любой из списка выше)</t>
        </is>
      </c>
      <c r="B34" s="10" t="n"/>
      <c r="C34" s="11" t="inlineStr">
        <is>
          <t>Дополнительно сужаются по географии, полу и возрасту</t>
        </is>
      </c>
      <c r="D34" s="10" t="n"/>
      <c r="E34" s="10" t="n"/>
      <c r="F34" s="10" t="n"/>
      <c r="G34" s="10" t="n"/>
      <c r="H34" s="10" t="n"/>
      <c r="I34" s="10" t="n"/>
      <c r="J34" s="10" t="n"/>
    </row>
    <row r="35" ht="20" customHeight="1">
      <c r="A35" s="5" t="inlineStr">
        <is>
          <t>Автоподбор аудитории</t>
        </is>
      </c>
      <c r="B35" s="10" t="n"/>
      <c r="C35" s="11" t="inlineStr">
        <is>
          <t>Ozon подбирает аудиторию сам; можно сузить по географии, полу и возрасту</t>
        </is>
      </c>
      <c r="D35" s="10" t="n"/>
      <c r="E35" s="10" t="n"/>
      <c r="F35" s="10" t="n"/>
      <c r="G35" s="10" t="n"/>
      <c r="H35" s="10" t="n"/>
      <c r="I35" s="10" t="n"/>
      <c r="J35" s="10" t="n"/>
    </row>
    <row r="37" ht="22" customHeight="1">
      <c r="A37" s="3" t="inlineStr">
        <is>
          <t>Нельзя размещать</t>
        </is>
      </c>
    </row>
    <row r="38" ht="15" customHeight="1">
      <c r="A38" s="12" t="inlineStr">
        <is>
          <t>•  Телефоны, e-mail, ссылки и URL (кроме Ozon и Ozon Travel), QR-коды на сторонние ресурсы.</t>
        </is>
      </c>
    </row>
    <row r="39" ht="15" customHeight="1">
      <c r="A39" s="12" t="inlineStr">
        <is>
          <t>•  Призывы писать в мессенджеры/соцсети, оставлять данные вне Ozon, кэшбэк/скидки/бонусы за отзыв за пределами Ozon.</t>
        </is>
      </c>
    </row>
    <row r="40" ht="30" customHeight="1">
      <c r="A40" s="12" t="inlineStr">
        <is>
          <t>•  Элементы интерфейса, вводящие в заблуждение: фейковые кнопки, кнопка «Play», имитация системных уведомлений и чужих приложений.</t>
        </is>
      </c>
    </row>
    <row r="41" ht="15" customHeight="1">
      <c r="A41" s="12" t="inlineStr">
        <is>
          <t>•  Недостоверные цены и скидки, некорректные сравнения с конкурентами.</t>
        </is>
      </c>
    </row>
    <row r="42" ht="15" customHeight="1">
      <c r="A42" s="12" t="inlineStr">
        <is>
          <t>•  Взрослый контент, бранные/жаргонные слова, политика, религия, эзотерика.</t>
        </is>
      </c>
    </row>
    <row r="44">
      <c r="A44" s="13" t="inlineStr">
        <is>
          <t>Источник: Политика размещения рекламы Ozon, п. 3 и 7 — https://performance-help.ozon.ru/trebovaniya/pravila-razmeshcheniya-reklamy (проверено 20.10.2026)</t>
        </is>
      </c>
    </row>
  </sheetData>
  <mergeCells count="62">
    <mergeCell ref="C34:J34"/>
    <mergeCell ref="A24:B24"/>
    <mergeCell ref="A30:B30"/>
    <mergeCell ref="A14:J14"/>
    <mergeCell ref="G26:J26"/>
    <mergeCell ref="A22:J22"/>
    <mergeCell ref="A17:J17"/>
    <mergeCell ref="E24:F24"/>
    <mergeCell ref="C6:J6"/>
    <mergeCell ref="E23:F23"/>
    <mergeCell ref="A4:J4"/>
    <mergeCell ref="G29:J29"/>
    <mergeCell ref="A20:J20"/>
    <mergeCell ref="C5:J5"/>
    <mergeCell ref="A38:J38"/>
    <mergeCell ref="G25:J25"/>
    <mergeCell ref="A6:B6"/>
    <mergeCell ref="G32:J32"/>
    <mergeCell ref="A19:J19"/>
    <mergeCell ref="A13:J13"/>
    <mergeCell ref="C35:J35"/>
    <mergeCell ref="A44:J44"/>
    <mergeCell ref="G31:J31"/>
    <mergeCell ref="A7:B7"/>
    <mergeCell ref="A25:B25"/>
    <mergeCell ref="E29:F29"/>
    <mergeCell ref="A40:J40"/>
    <mergeCell ref="A39:J39"/>
    <mergeCell ref="E28:F28"/>
    <mergeCell ref="A15:J15"/>
    <mergeCell ref="A27:B27"/>
    <mergeCell ref="G27:J27"/>
    <mergeCell ref="E31:F31"/>
    <mergeCell ref="A11:J11"/>
    <mergeCell ref="C9:J9"/>
    <mergeCell ref="A26:B26"/>
    <mergeCell ref="E30:F30"/>
    <mergeCell ref="G23:J23"/>
    <mergeCell ref="A5:B5"/>
    <mergeCell ref="E27:F27"/>
    <mergeCell ref="A32:B32"/>
    <mergeCell ref="A23:B23"/>
    <mergeCell ref="E26:F26"/>
    <mergeCell ref="A8:B8"/>
    <mergeCell ref="A41:J41"/>
    <mergeCell ref="C8:J8"/>
    <mergeCell ref="G28:J28"/>
    <mergeCell ref="A35:B35"/>
    <mergeCell ref="A37:J37"/>
    <mergeCell ref="A29:B29"/>
    <mergeCell ref="C7:J7"/>
    <mergeCell ref="E32:F32"/>
    <mergeCell ref="E25:F25"/>
    <mergeCell ref="A18:J18"/>
    <mergeCell ref="A28:B28"/>
    <mergeCell ref="A12:J12"/>
    <mergeCell ref="G24:J24"/>
    <mergeCell ref="G30:J30"/>
    <mergeCell ref="A9:B9"/>
    <mergeCell ref="A31:B31"/>
    <mergeCell ref="A42:J42"/>
    <mergeCell ref="A34:B3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Баннер для пуш-рассылки Ozon</t>
        </is>
      </c>
    </row>
    <row r="2">
      <c r="A2" s="2" t="inlineStr">
        <is>
          <t>Картинка к push-уведомлению. Требования — из формы загрузки в кабинете Ozon.</t>
        </is>
      </c>
    </row>
    <row r="4" ht="22" customHeight="1">
      <c r="A4" s="3" t="inlineStr">
        <is>
          <t>Технические параметры</t>
        </is>
      </c>
    </row>
    <row r="5" ht="20" customHeight="1">
      <c r="A5" s="5" t="inlineStr">
        <is>
          <t>Формат</t>
        </is>
      </c>
      <c r="B5" s="10" t="n"/>
      <c r="C5" s="11" t="inlineStr">
        <is>
          <t>JPG, JPEG, PNG</t>
        </is>
      </c>
      <c r="D5" s="10" t="n"/>
      <c r="E5" s="10" t="n"/>
      <c r="F5" s="10" t="n"/>
      <c r="G5" s="10" t="n"/>
      <c r="H5" s="10" t="n"/>
      <c r="I5" s="10" t="n"/>
      <c r="J5" s="10" t="n"/>
    </row>
    <row r="6" ht="20" customHeight="1">
      <c r="A6" s="5" t="inlineStr">
        <is>
          <t>Макс. вес</t>
        </is>
      </c>
      <c r="B6" s="10" t="n"/>
      <c r="C6" s="11" t="inlineStr">
        <is>
          <t>до 512 КБ</t>
        </is>
      </c>
      <c r="D6" s="10" t="n"/>
      <c r="E6" s="10" t="n"/>
      <c r="F6" s="10" t="n"/>
      <c r="G6" s="10" t="n"/>
      <c r="H6" s="10" t="n"/>
      <c r="I6" s="10" t="n"/>
      <c r="J6" s="10" t="n"/>
    </row>
    <row r="7" ht="20" customHeight="1">
      <c r="A7" s="5" t="inlineStr">
        <is>
          <t>Разрешение</t>
        </is>
      </c>
      <c r="B7" s="10" t="n"/>
      <c r="C7" s="11" t="inlineStr">
        <is>
          <t>от 200 × 100 до 900 × 450 px</t>
        </is>
      </c>
      <c r="D7" s="10" t="n"/>
      <c r="E7" s="10" t="n"/>
      <c r="F7" s="10" t="n"/>
      <c r="G7" s="10" t="n"/>
      <c r="H7" s="10" t="n"/>
      <c r="I7" s="10" t="n"/>
      <c r="J7" s="10" t="n"/>
    </row>
    <row r="8" ht="20" customHeight="1">
      <c r="A8" s="5" t="inlineStr">
        <is>
          <t>Рекомендуемый размер</t>
        </is>
      </c>
      <c r="B8" s="10" t="n"/>
      <c r="C8" s="11" t="inlineStr">
        <is>
          <t>900 × 450 px (максимум — лучшее качество; пропорция 2 : 1)</t>
        </is>
      </c>
      <c r="D8" s="10" t="n"/>
      <c r="E8" s="10" t="n"/>
      <c r="F8" s="10" t="n"/>
      <c r="G8" s="10" t="n"/>
      <c r="H8" s="10" t="n"/>
      <c r="I8" s="10" t="n"/>
      <c r="J8" s="10" t="n"/>
    </row>
    <row r="10" ht="22" customHeight="1">
      <c r="A10" s="3" t="inlineStr">
        <is>
          <t>Рекомендации для дизайнера (практика, не требование Ozon)</t>
        </is>
      </c>
    </row>
    <row r="11" ht="30" customHeight="1">
      <c r="A11" s="8" t="inlineStr">
        <is>
          <t>•  Картинку в push система обрезает по-разному на iOS и Android — товар и главный текст ставить строго по центру, без важного у краёв.</t>
        </is>
      </c>
    </row>
    <row r="12" ht="15" customHeight="1">
      <c r="A12" s="8" t="inlineStr">
        <is>
          <t>•  Минимум текста на картинке: основное сообщение — в заголовке и тексте push, картинка поддерживает его.</t>
        </is>
      </c>
    </row>
    <row r="13" ht="15" customHeight="1">
      <c r="A13" s="8" t="inlineStr">
        <is>
          <t>•  Крупный товар на чистом контрастном фоне — картинка в шторке уведомлений очень маленькая.</t>
        </is>
      </c>
    </row>
    <row r="15" ht="22" customHeight="1">
      <c r="A15" s="3" t="inlineStr">
        <is>
          <t>Настройки аудитории</t>
        </is>
      </c>
    </row>
    <row r="16" ht="20" customHeight="1">
      <c r="A16" s="5" t="inlineStr">
        <is>
          <t>Бесплатная рассылка</t>
        </is>
      </c>
      <c r="B16" s="10" t="n"/>
      <c r="C16" s="11" t="inlineStr">
        <is>
          <t>Сегмент «Мои покупатели» — купили ваши товары за последние 90 дней</t>
        </is>
      </c>
      <c r="D16" s="10" t="n"/>
      <c r="E16" s="10" t="n"/>
      <c r="F16" s="10" t="n"/>
      <c r="G16" s="10" t="n"/>
      <c r="H16" s="10" t="n"/>
      <c r="I16" s="10" t="n"/>
      <c r="J16" s="10" t="n"/>
    </row>
    <row r="18" ht="30" customHeight="1">
      <c r="A18" s="8" t="inlineStr">
        <is>
          <t>•  Аудитория — те, кто уже у вас покупал: креатив под допродажу (другие ваши категории, новинки, комплекты), а не под знакомство с брендом.</t>
        </is>
      </c>
    </row>
    <row r="20" ht="22" customHeight="1">
      <c r="A20" s="3" t="inlineStr">
        <is>
          <t>Общие правила рекламы Ozon (действуют и для push)</t>
        </is>
      </c>
    </row>
    <row r="21" ht="15" customHeight="1">
      <c r="A21" s="8" t="inlineStr">
        <is>
          <t>•  Прозрачный фон запрещён — фон всегда сплошной/залитый (PNG без альфа-канала).</t>
        </is>
      </c>
    </row>
    <row r="22" ht="15" customHeight="1">
      <c r="A22" s="8" t="inlineStr">
        <is>
          <t>•  Изображения только высокого качества: без пикселизации, артефактов сжатия и искажения пропорций.</t>
        </is>
      </c>
    </row>
    <row r="23" ht="30" customHeight="1">
      <c r="A23" s="8" t="inlineStr">
        <is>
          <t>•  Текст крупный и контрастный к фону, читается без увеличения. Грамотный русский язык, без опечаток и сокращений (кроме общепринятых и ₽).</t>
        </is>
      </c>
    </row>
    <row r="25" ht="15" customHeight="1">
      <c r="A25" s="12" t="inlineStr">
        <is>
          <t>•  Телефоны, e-mail, ссылки и URL (кроме Ozon и Ozon Travel), QR-коды на сторонние ресурсы.</t>
        </is>
      </c>
    </row>
    <row r="26" ht="15" customHeight="1">
      <c r="A26" s="12" t="inlineStr">
        <is>
          <t>•  Призывы писать в мессенджеры/соцсети, оставлять данные вне Ozon, кэшбэк/скидки/бонусы за отзыв за пределами Ozon.</t>
        </is>
      </c>
    </row>
    <row r="27" ht="30" customHeight="1">
      <c r="A27" s="12" t="inlineStr">
        <is>
          <t>•  Элементы интерфейса, вводящие в заблуждение: фейковые кнопки, кнопка «Play», имитация системных уведомлений и чужих приложений.</t>
        </is>
      </c>
    </row>
    <row r="28" ht="15" customHeight="1">
      <c r="A28" s="12" t="inlineStr">
        <is>
          <t>•  Недостоверные цены и скидки, некорректные сравнения с конкурентами.</t>
        </is>
      </c>
    </row>
    <row r="29" ht="15" customHeight="1">
      <c r="A29" s="12" t="inlineStr">
        <is>
          <t>•  Взрослый контент, бранные/жаргонные слова, политика, религия, эзотерика.</t>
        </is>
      </c>
    </row>
    <row r="31">
      <c r="A31" s="13" t="inlineStr">
        <is>
          <t>Источники: техпараметры — форма загрузки изображения в кабинете Ozon (данные от пользователя, 20.10.2026); общие правила — Политика размещения рекламы Ozon, https://performance-help.ozon.ru/trebovaniya/pravila-razmeshcheniya-reklamy</t>
        </is>
      </c>
    </row>
  </sheetData>
  <mergeCells count="27">
    <mergeCell ref="A23:J23"/>
    <mergeCell ref="A22:J22"/>
    <mergeCell ref="C6:J6"/>
    <mergeCell ref="A29:J29"/>
    <mergeCell ref="A4:J4"/>
    <mergeCell ref="A20:J20"/>
    <mergeCell ref="C5:J5"/>
    <mergeCell ref="A10:J10"/>
    <mergeCell ref="A28:J28"/>
    <mergeCell ref="A6:B6"/>
    <mergeCell ref="A13:J13"/>
    <mergeCell ref="A16:B16"/>
    <mergeCell ref="A31:J31"/>
    <mergeCell ref="A7:B7"/>
    <mergeCell ref="C16:J16"/>
    <mergeCell ref="A15:J15"/>
    <mergeCell ref="A11:J11"/>
    <mergeCell ref="A5:B5"/>
    <mergeCell ref="A8:B8"/>
    <mergeCell ref="A25:J25"/>
    <mergeCell ref="C8:J8"/>
    <mergeCell ref="C7:J7"/>
    <mergeCell ref="A18:J18"/>
    <mergeCell ref="A27:J27"/>
    <mergeCell ref="A21:J21"/>
    <mergeCell ref="A12:J12"/>
    <mergeCell ref="A26:J2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Портрет покупателя по категориям</t>
        </is>
      </c>
    </row>
    <row r="2">
      <c r="A2" s="2" t="inlineStr">
        <is>
          <t>Ozon Seller → Покупатели → Портрет покупателя → Конструктор сегментов. Купили ≥1 раза за 365 дней. Выгрузка 26.10.2026.</t>
        </is>
      </c>
    </row>
    <row r="4" ht="22" customHeight="1">
      <c r="A4" s="3" t="inlineStr">
        <is>
          <t>Как читать</t>
        </is>
      </c>
    </row>
    <row r="5" ht="45" customHeight="1">
      <c r="A5" s="8" t="inlineStr">
        <is>
          <t>•  Категории Ozon → ваши товары: «Утюги и отпариватели» — паровая швабра 7в1; «Мультиварки, хлебопечки, аэрогрили» — аэрогриль; «Тренажеры» — виброплатформа; «Пылесосы» — вертикальные пылесосы и КМП; «Кофеварки и кофемашины» — капсульная кофемашина.</t>
        </is>
      </c>
    </row>
    <row r="6" ht="30" customHeight="1">
      <c r="A6" s="8" t="inlineStr">
        <is>
          <t>•  «Мои покупатели» — купили ваши товары этой категории; «Вся категория» — купили товары категории у любых продавцов на Ozon.</t>
        </is>
      </c>
    </row>
    <row r="7" ht="15" customHeight="1">
      <c r="A7" s="8" t="inlineStr">
        <is>
          <t>•  Пол и возраст — в % от покупателей, у которых Ozon их знает (строка «Пол/возраст определены»).</t>
        </is>
      </c>
    </row>
    <row r="8" ht="30" customHeight="1">
      <c r="A8" s="8" t="inlineStr">
        <is>
          <t>•  Средний чек — средний чек покупателя на Ozon в целом, а не только в этой категории. География — % от всех покупателей сегмента.</t>
        </is>
      </c>
    </row>
    <row r="9" ht="15" customHeight="1">
      <c r="A9" s="8" t="inlineStr">
        <is>
          <t>•  Разница — «мои» минус «категория»: плюс = у вас эта группа сильнее, минус = слабее.</t>
        </is>
      </c>
    </row>
    <row r="11" ht="22" customHeight="1">
      <c r="A11" s="3" t="inlineStr">
        <is>
          <t>Кофеварки и кофемашины</t>
        </is>
      </c>
    </row>
    <row r="12">
      <c r="A12" s="4" t="inlineStr">
        <is>
          <t>Показатель</t>
        </is>
      </c>
      <c r="B12" s="4" t="inlineStr">
        <is>
          <t>Мои покупатели</t>
        </is>
      </c>
      <c r="C12" s="4" t="inlineStr">
        <is>
          <t>Вся категория</t>
        </is>
      </c>
      <c r="D12" s="4" t="inlineStr">
        <is>
          <t>Разница</t>
        </is>
      </c>
    </row>
    <row r="13" ht="30" customHeight="1">
      <c r="A13" s="15" t="inlineStr">
        <is>
          <t>Охват, чел.</t>
        </is>
      </c>
      <c r="B13" s="11" t="inlineStr">
        <is>
          <t>&lt; 1 000</t>
        </is>
      </c>
      <c r="C13" s="11" t="inlineStr">
        <is>
          <t>~1 138 000</t>
        </is>
      </c>
      <c r="D13" s="10" t="n"/>
    </row>
    <row r="14">
      <c r="A14" s="15" t="inlineStr">
        <is>
          <t>Мужчины</t>
        </is>
      </c>
      <c r="B14" s="16" t="n">
        <v>0.5906</v>
      </c>
      <c r="C14" s="16" t="n">
        <v>0.5638000000000001</v>
      </c>
      <c r="D14" s="17">
        <f>B14-C14</f>
        <v/>
      </c>
    </row>
    <row r="15">
      <c r="A15" s="15" t="inlineStr">
        <is>
          <t>Женщины</t>
        </is>
      </c>
      <c r="B15" s="16" t="n">
        <v>0.4094</v>
      </c>
      <c r="C15" s="16" t="n">
        <v>0.4362</v>
      </c>
      <c r="D15" s="17">
        <f>B15-C15</f>
        <v/>
      </c>
    </row>
    <row r="16">
      <c r="A16" s="15" t="inlineStr">
        <is>
          <t>Пол/возраст определены</t>
        </is>
      </c>
      <c r="B16" s="16" t="n">
        <v>0.4429999999999999</v>
      </c>
      <c r="C16" s="16" t="n">
        <v>0.6674</v>
      </c>
      <c r="D16" s="17">
        <f>B16-C16</f>
        <v/>
      </c>
    </row>
    <row r="17">
      <c r="A17" s="15" t="inlineStr">
        <is>
          <t>Возраст до 18</t>
        </is>
      </c>
      <c r="B17" s="16" t="n">
        <v>0</v>
      </c>
      <c r="C17" s="16" t="n">
        <v>0.0022</v>
      </c>
      <c r="D17" s="17">
        <f>B17-C17</f>
        <v/>
      </c>
    </row>
    <row r="18">
      <c r="A18" s="15" t="inlineStr">
        <is>
          <t>Возраст 18–24</t>
        </is>
      </c>
      <c r="B18" s="16" t="n">
        <v>0.2782</v>
      </c>
      <c r="C18" s="16" t="n">
        <v>0.1452</v>
      </c>
      <c r="D18" s="17">
        <f>B18-C18</f>
        <v/>
      </c>
    </row>
    <row r="19">
      <c r="A19" s="15" t="inlineStr">
        <is>
          <t>Возраст 25–34</t>
        </is>
      </c>
      <c r="B19" s="16" t="n">
        <v>0.4285</v>
      </c>
      <c r="C19" s="16" t="n">
        <v>0.32</v>
      </c>
      <c r="D19" s="17">
        <f>B19-C19</f>
        <v/>
      </c>
    </row>
    <row r="20">
      <c r="A20" s="15" t="inlineStr">
        <is>
          <t>Возраст 35–44</t>
        </is>
      </c>
      <c r="B20" s="16" t="n">
        <v>0.1955</v>
      </c>
      <c r="C20" s="16" t="n">
        <v>0.3182</v>
      </c>
      <c r="D20" s="17">
        <f>B20-C20</f>
        <v/>
      </c>
    </row>
    <row r="21">
      <c r="A21" s="15" t="inlineStr">
        <is>
          <t>Возраст 45–54</t>
        </is>
      </c>
      <c r="B21" s="16" t="n">
        <v>0.0602</v>
      </c>
      <c r="C21" s="16" t="n">
        <v>0.1477</v>
      </c>
      <c r="D21" s="17">
        <f>B21-C21</f>
        <v/>
      </c>
    </row>
    <row r="22">
      <c r="A22" s="15" t="inlineStr">
        <is>
          <t>Возраст 55+</t>
        </is>
      </c>
      <c r="B22" s="16" t="n">
        <v>0.03759999999999999</v>
      </c>
      <c r="C22" s="16" t="n">
        <v>0.0667</v>
      </c>
      <c r="D22" s="17">
        <f>B22-C22</f>
        <v/>
      </c>
    </row>
    <row r="23">
      <c r="A23" s="15" t="inlineStr">
        <is>
          <t>Средний чек до 999 ₽</t>
        </is>
      </c>
      <c r="B23" s="16" t="n">
        <v>0.044</v>
      </c>
      <c r="C23" s="16" t="n">
        <v>0.2426</v>
      </c>
      <c r="D23" s="17">
        <f>B23-C23</f>
        <v/>
      </c>
    </row>
    <row r="24">
      <c r="A24" s="15" t="inlineStr">
        <is>
          <t>Средний чек 1 000–2 999 ₽</t>
        </is>
      </c>
      <c r="B24" s="16" t="n">
        <v>0.5803</v>
      </c>
      <c r="C24" s="16" t="n">
        <v>0.5164</v>
      </c>
      <c r="D24" s="17">
        <f>B24-C24</f>
        <v/>
      </c>
    </row>
    <row r="25">
      <c r="A25" s="15" t="inlineStr">
        <is>
          <t>Средний чек 3 000–9 999 ₽</t>
        </is>
      </c>
      <c r="B25" s="16" t="n">
        <v>0.3368</v>
      </c>
      <c r="C25" s="16" t="n">
        <v>0.2059</v>
      </c>
      <c r="D25" s="17">
        <f>B25-C25</f>
        <v/>
      </c>
    </row>
    <row r="26">
      <c r="A26" s="15" t="inlineStr">
        <is>
          <t>Средний чек 10 000–29 999 ₽</t>
        </is>
      </c>
      <c r="B26" s="16" t="n">
        <v>0.0337</v>
      </c>
      <c r="C26" s="16" t="n">
        <v>0.0274</v>
      </c>
      <c r="D26" s="17">
        <f>B26-C26</f>
        <v/>
      </c>
    </row>
    <row r="27">
      <c r="A27" s="15" t="inlineStr">
        <is>
          <t>Средний чек 30 000+ ₽</t>
        </is>
      </c>
      <c r="B27" s="16" t="n">
        <v>0.0052</v>
      </c>
      <c r="C27" s="16" t="n">
        <v>0.0077</v>
      </c>
      <c r="D27" s="17">
        <f>B27-C27</f>
        <v/>
      </c>
    </row>
    <row r="28" ht="30" customHeight="1">
      <c r="A28" s="15" t="inlineStr">
        <is>
          <t>Топ кластеров</t>
        </is>
      </c>
      <c r="B28" s="11" t="inlineStr">
        <is>
          <t>Москва и МО 10.1%, Екатеринбург 6.7%, Краснодар 6.5%, Казань 5.2%, Центр 4.2%</t>
        </is>
      </c>
      <c r="C28" s="11" t="inlineStr">
        <is>
          <t>Москва и МО 17.5%, Казань 9.1%, Краснодар 8.5%, СПб 8.2%, Екатеринбург 7.7%</t>
        </is>
      </c>
      <c r="D28" s="10" t="n"/>
    </row>
    <row r="29" ht="30" customHeight="1">
      <c r="A29" s="15" t="inlineStr">
        <is>
          <t>Также покупают</t>
        </is>
      </c>
      <c r="B29" s="11" t="inlineStr">
        <is>
          <t>Одежда, бельё</t>
        </is>
      </c>
      <c r="C29" s="11" t="inlineStr">
        <is>
          <t>Одежда, моющие и чистящие</t>
        </is>
      </c>
      <c r="D29" s="10" t="n"/>
    </row>
    <row r="30" ht="45" customHeight="1">
      <c r="A30" s="18" t="inlineStr">
        <is>
          <t>Вывод: Ваши покупатели — больше мужчин (59%) и заметно моложе категории: 18–34 года = 71% против 47%. Платёжеспособнее: чек 3–10 тыс. у 34% против 21%. Москва у вас слабее (10% против 17%) — точка роста. Таргет: М+Ж 18–34, на категорию — 25–44, Москва и МО отдельной кампанией.</t>
        </is>
      </c>
    </row>
    <row r="32" ht="22" customHeight="1">
      <c r="A32" s="3" t="inlineStr">
        <is>
          <t>Мультиварки, хлебопечки, аэрогрили</t>
        </is>
      </c>
    </row>
    <row r="33">
      <c r="A33" s="4" t="inlineStr">
        <is>
          <t>Показатель</t>
        </is>
      </c>
      <c r="B33" s="4" t="inlineStr">
        <is>
          <t>Мои покупатели</t>
        </is>
      </c>
      <c r="C33" s="4" t="inlineStr">
        <is>
          <t>Вся категория</t>
        </is>
      </c>
      <c r="D33" s="4" t="inlineStr">
        <is>
          <t>Разница</t>
        </is>
      </c>
    </row>
    <row r="34" ht="30" customHeight="1">
      <c r="A34" s="15" t="inlineStr">
        <is>
          <t>Охват, чел.</t>
        </is>
      </c>
      <c r="B34" s="11" t="inlineStr">
        <is>
          <t>~1 000</t>
        </is>
      </c>
      <c r="C34" s="11" t="inlineStr">
        <is>
          <t>~3 141 000</t>
        </is>
      </c>
      <c r="D34" s="10" t="n"/>
    </row>
    <row r="35">
      <c r="A35" s="15" t="inlineStr">
        <is>
          <t>Мужчины</t>
        </is>
      </c>
      <c r="B35" s="16" t="n">
        <v>0.3907</v>
      </c>
      <c r="C35" s="16" t="n">
        <v>0.5188</v>
      </c>
      <c r="D35" s="17">
        <f>B35-C35</f>
        <v/>
      </c>
    </row>
    <row r="36">
      <c r="A36" s="15" t="inlineStr">
        <is>
          <t>Женщины</t>
        </is>
      </c>
      <c r="B36" s="16" t="n">
        <v>0.6093</v>
      </c>
      <c r="C36" s="16" t="n">
        <v>0.4812</v>
      </c>
      <c r="D36" s="17">
        <f>B36-C36</f>
        <v/>
      </c>
    </row>
    <row r="37">
      <c r="A37" s="15" t="inlineStr">
        <is>
          <t>Пол/возраст определены</t>
        </is>
      </c>
      <c r="B37" s="16" t="n">
        <v>0.5999</v>
      </c>
      <c r="C37" s="16" t="n">
        <v>0.6307</v>
      </c>
      <c r="D37" s="17">
        <f>B37-C37</f>
        <v/>
      </c>
    </row>
    <row r="38">
      <c r="A38" s="15" t="inlineStr">
        <is>
          <t>Возраст до 18</t>
        </is>
      </c>
      <c r="B38" s="16" t="n">
        <v>0.0023</v>
      </c>
      <c r="C38" s="16" t="n">
        <v>0.0031</v>
      </c>
      <c r="D38" s="17">
        <f>B38-C38</f>
        <v/>
      </c>
    </row>
    <row r="39">
      <c r="A39" s="15" t="inlineStr">
        <is>
          <t>Возраст 18–24</t>
        </is>
      </c>
      <c r="B39" s="16" t="n">
        <v>0.1579</v>
      </c>
      <c r="C39" s="16" t="n">
        <v>0.154</v>
      </c>
      <c r="D39" s="17">
        <f>B39-C39</f>
        <v/>
      </c>
    </row>
    <row r="40">
      <c r="A40" s="15" t="inlineStr">
        <is>
          <t>Возраст 25–34</t>
        </is>
      </c>
      <c r="B40" s="16" t="n">
        <v>0.3322</v>
      </c>
      <c r="C40" s="16" t="n">
        <v>0.3189</v>
      </c>
      <c r="D40" s="17">
        <f>B40-C40</f>
        <v/>
      </c>
    </row>
    <row r="41">
      <c r="A41" s="15" t="inlineStr">
        <is>
          <t>Возраст 35–44</t>
        </is>
      </c>
      <c r="B41" s="16" t="n">
        <v>0.3064</v>
      </c>
      <c r="C41" s="16" t="n">
        <v>0.3243</v>
      </c>
      <c r="D41" s="17">
        <f>B41-C41</f>
        <v/>
      </c>
    </row>
    <row r="42">
      <c r="A42" s="15" t="inlineStr">
        <is>
          <t>Возраст 45–54</t>
        </is>
      </c>
      <c r="B42" s="16" t="n">
        <v>0.1205</v>
      </c>
      <c r="C42" s="16" t="n">
        <v>0.1401</v>
      </c>
      <c r="D42" s="17">
        <f>B42-C42</f>
        <v/>
      </c>
    </row>
    <row r="43">
      <c r="A43" s="15" t="inlineStr">
        <is>
          <t>Возраст 55+</t>
        </is>
      </c>
      <c r="B43" s="16" t="n">
        <v>0.08070000000000001</v>
      </c>
      <c r="C43" s="16" t="n">
        <v>0.0596</v>
      </c>
      <c r="D43" s="17">
        <f>B43-C43</f>
        <v/>
      </c>
    </row>
    <row r="44">
      <c r="A44" s="15" t="inlineStr">
        <is>
          <t>Средний чек до 999 ₽</t>
        </is>
      </c>
      <c r="B44" s="16" t="n">
        <v>0.2738</v>
      </c>
      <c r="C44" s="16" t="n">
        <v>0.3114</v>
      </c>
      <c r="D44" s="17">
        <f>B44-C44</f>
        <v/>
      </c>
    </row>
    <row r="45">
      <c r="A45" s="15" t="inlineStr">
        <is>
          <t>Средний чек 1 000–2 999 ₽</t>
        </is>
      </c>
      <c r="B45" s="16" t="n">
        <v>0.5571</v>
      </c>
      <c r="C45" s="16" t="n">
        <v>0.5266</v>
      </c>
      <c r="D45" s="17">
        <f>B45-C45</f>
        <v/>
      </c>
    </row>
    <row r="46">
      <c r="A46" s="15" t="inlineStr">
        <is>
          <t>Средний чек 3 000–9 999 ₽</t>
        </is>
      </c>
      <c r="B46" s="16" t="n">
        <v>0.157</v>
      </c>
      <c r="C46" s="16" t="n">
        <v>0.1481</v>
      </c>
      <c r="D46" s="17">
        <f>B46-C46</f>
        <v/>
      </c>
    </row>
    <row r="47">
      <c r="A47" s="15" t="inlineStr">
        <is>
          <t>Средний чек 10 000–29 999 ₽</t>
        </is>
      </c>
      <c r="B47" s="16" t="n">
        <v>0.0095</v>
      </c>
      <c r="C47" s="16" t="n">
        <v>0.0117</v>
      </c>
      <c r="D47" s="17">
        <f>B47-C47</f>
        <v/>
      </c>
    </row>
    <row r="48">
      <c r="A48" s="15" t="inlineStr">
        <is>
          <t>Средний чек 30 000+ ₽</t>
        </is>
      </c>
      <c r="B48" s="16" t="n">
        <v>0.0026</v>
      </c>
      <c r="C48" s="16" t="n">
        <v>0.0022</v>
      </c>
      <c r="D48" s="17">
        <f>B48-C48</f>
        <v/>
      </c>
    </row>
    <row r="49" ht="30" customHeight="1">
      <c r="A49" s="15" t="inlineStr">
        <is>
          <t>Топ кластеров</t>
        </is>
      </c>
      <c r="B49" s="11" t="inlineStr">
        <is>
          <t>Москва и МО 10.5%, Екатеринбург 9.8%, Казань 9.1%, Краснодар 7.5%, Центр 6.0%</t>
        </is>
      </c>
      <c r="C49" s="11" t="inlineStr">
        <is>
          <t>Москва и МО 14.0%, Казань 10.2%, Екатеринбург 8.8%, Центр 7.8%, Краснодар 7.5%</t>
        </is>
      </c>
      <c r="D49" s="10" t="n"/>
    </row>
    <row r="50" ht="30" customHeight="1">
      <c r="A50" s="15" t="inlineStr">
        <is>
          <t>Также покупают</t>
        </is>
      </c>
      <c r="B50" s="11" t="inlineStr">
        <is>
          <t>Одежда, бельё</t>
        </is>
      </c>
      <c r="C50" s="11" t="inlineStr">
        <is>
          <t>Одежда, бельё</t>
        </is>
      </c>
      <c r="D50" s="10" t="n"/>
    </row>
    <row r="51" ht="45" customHeight="1">
      <c r="A51" s="18" t="inlineStr">
        <is>
          <t>Вывод: Ваш покупатель — женщина (61% против 48% в категории), возраст как у категории: 25–44. Чек близок к категории. Таргет: женщины 25–44; на категорию можно оба пола 25–44.</t>
        </is>
      </c>
    </row>
    <row r="53" ht="22" customHeight="1">
      <c r="A53" s="3" t="inlineStr">
        <is>
          <t>Пылесосы</t>
        </is>
      </c>
    </row>
    <row r="54">
      <c r="A54" s="4" t="inlineStr">
        <is>
          <t>Показатель</t>
        </is>
      </c>
      <c r="B54" s="4" t="inlineStr">
        <is>
          <t>Мои покупатели</t>
        </is>
      </c>
      <c r="C54" s="4" t="inlineStr">
        <is>
          <t>Вся категория</t>
        </is>
      </c>
      <c r="D54" s="4" t="inlineStr">
        <is>
          <t>Разница</t>
        </is>
      </c>
    </row>
    <row r="55" ht="30" customHeight="1">
      <c r="A55" s="15" t="inlineStr">
        <is>
          <t>Охват, чел.</t>
        </is>
      </c>
      <c r="B55" s="11" t="inlineStr">
        <is>
          <t>~4 000</t>
        </is>
      </c>
      <c r="C55" s="11" t="inlineStr">
        <is>
          <t>~6 897 000</t>
        </is>
      </c>
      <c r="D55" s="10" t="n"/>
    </row>
    <row r="56">
      <c r="A56" s="15" t="inlineStr">
        <is>
          <t>Мужчины</t>
        </is>
      </c>
      <c r="B56" s="16" t="n">
        <v>0.4622</v>
      </c>
      <c r="C56" s="16" t="n">
        <v>0.7034</v>
      </c>
      <c r="D56" s="17">
        <f>B56-C56</f>
        <v/>
      </c>
    </row>
    <row r="57">
      <c r="A57" s="15" t="inlineStr">
        <is>
          <t>Женщины</t>
        </is>
      </c>
      <c r="B57" s="16" t="n">
        <v>0.5378000000000001</v>
      </c>
      <c r="C57" s="16" t="n">
        <v>0.2966</v>
      </c>
      <c r="D57" s="17">
        <f>B57-C57</f>
        <v/>
      </c>
    </row>
    <row r="58">
      <c r="A58" s="15" t="inlineStr">
        <is>
          <t>Пол/возраст определены</t>
        </is>
      </c>
      <c r="B58" s="16" t="n">
        <v>0.4858</v>
      </c>
      <c r="C58" s="16" t="n">
        <v>1</v>
      </c>
      <c r="D58" s="17">
        <f>B58-C58</f>
        <v/>
      </c>
    </row>
    <row r="59">
      <c r="A59" s="15" t="inlineStr">
        <is>
          <t>Возраст до 18</t>
        </is>
      </c>
      <c r="B59" s="16" t="n">
        <v>0.0017</v>
      </c>
      <c r="C59" s="16" t="n">
        <v>0.0037</v>
      </c>
      <c r="D59" s="17">
        <f>B59-C59</f>
        <v/>
      </c>
    </row>
    <row r="60">
      <c r="A60" s="15" t="inlineStr">
        <is>
          <t>Возраст 18–24</t>
        </is>
      </c>
      <c r="B60" s="16" t="n">
        <v>0.1741</v>
      </c>
      <c r="C60" s="16" t="n">
        <v>0.2003</v>
      </c>
      <c r="D60" s="17">
        <f>B60-C60</f>
        <v/>
      </c>
    </row>
    <row r="61">
      <c r="A61" s="15" t="inlineStr">
        <is>
          <t>Возраст 25–34</t>
        </is>
      </c>
      <c r="B61" s="16" t="n">
        <v>0.3874</v>
      </c>
      <c r="C61" s="16" t="n">
        <v>0.3602</v>
      </c>
      <c r="D61" s="17">
        <f>B61-C61</f>
        <v/>
      </c>
    </row>
    <row r="62">
      <c r="A62" s="15" t="inlineStr">
        <is>
          <t>Возраст 35–44</t>
        </is>
      </c>
      <c r="B62" s="16" t="n">
        <v>0.2796</v>
      </c>
      <c r="C62" s="16" t="n">
        <v>0.297</v>
      </c>
      <c r="D62" s="17">
        <f>B62-C62</f>
        <v/>
      </c>
    </row>
    <row r="63">
      <c r="A63" s="15" t="inlineStr">
        <is>
          <t>Возраст 45–54</t>
        </is>
      </c>
      <c r="B63" s="16" t="n">
        <v>0.1112</v>
      </c>
      <c r="C63" s="16" t="n">
        <v>0.1001</v>
      </c>
      <c r="D63" s="17">
        <f>B63-C63</f>
        <v/>
      </c>
    </row>
    <row r="64">
      <c r="A64" s="15" t="inlineStr">
        <is>
          <t>Возраст 55+</t>
        </is>
      </c>
      <c r="B64" s="16" t="n">
        <v>0.046</v>
      </c>
      <c r="C64" s="16" t="n">
        <v>0.0387</v>
      </c>
      <c r="D64" s="17">
        <f>B64-C64</f>
        <v/>
      </c>
    </row>
    <row r="65">
      <c r="A65" s="15" t="inlineStr">
        <is>
          <t>Средний чек до 999 ₽</t>
        </is>
      </c>
      <c r="B65" s="16" t="n">
        <v>0.06849999999999999</v>
      </c>
      <c r="C65" s="16" t="n">
        <v>0.3352000000000001</v>
      </c>
      <c r="D65" s="17">
        <f>B65-C65</f>
        <v/>
      </c>
    </row>
    <row r="66">
      <c r="A66" s="15" t="inlineStr">
        <is>
          <t>Средний чек 1 000–2 999 ₽</t>
        </is>
      </c>
      <c r="B66" s="16" t="n">
        <v>0.5745</v>
      </c>
      <c r="C66" s="16" t="n">
        <v>0.5164</v>
      </c>
      <c r="D66" s="17">
        <f>B66-C66</f>
        <v/>
      </c>
    </row>
    <row r="67">
      <c r="A67" s="15" t="inlineStr">
        <is>
          <t>Средний чек 3 000–9 999 ₽</t>
        </is>
      </c>
      <c r="B67" s="16" t="n">
        <v>0.3301</v>
      </c>
      <c r="C67" s="16" t="n">
        <v>0.1358</v>
      </c>
      <c r="D67" s="17">
        <f>B67-C67</f>
        <v/>
      </c>
    </row>
    <row r="68">
      <c r="A68" s="15" t="inlineStr">
        <is>
          <t>Средний чек 10 000–29 999 ₽</t>
        </is>
      </c>
      <c r="B68" s="16" t="n">
        <v>0.022</v>
      </c>
      <c r="C68" s="16" t="n">
        <v>0.0106</v>
      </c>
      <c r="D68" s="17">
        <f>B68-C68</f>
        <v/>
      </c>
    </row>
    <row r="69">
      <c r="A69" s="15" t="inlineStr">
        <is>
          <t>Средний чек 30 000+ ₽</t>
        </is>
      </c>
      <c r="B69" s="16" t="n">
        <v>0.0049</v>
      </c>
      <c r="C69" s="16" t="n">
        <v>0.002</v>
      </c>
      <c r="D69" s="17">
        <f>B69-C69</f>
        <v/>
      </c>
    </row>
    <row r="70" ht="30" customHeight="1">
      <c r="A70" s="15" t="inlineStr">
        <is>
          <t>Топ кластеров</t>
        </is>
      </c>
      <c r="B70" s="11" t="inlineStr">
        <is>
          <t>Москва и МО 11.4%, Казань 7.2%, Екатеринбург 6.2%, Центр 5.4%, Краснодар 5.3%</t>
        </is>
      </c>
      <c r="C70" s="11" t="inlineStr">
        <is>
          <t>Москва и МО 21.6%, Казань 11.1%, Краснодар 9.4%, Екатеринбург 9.4%, СПб 7.7%</t>
        </is>
      </c>
      <c r="D70" s="10" t="n"/>
    </row>
    <row r="71" ht="30" customHeight="1">
      <c r="A71" s="15" t="inlineStr">
        <is>
          <t>Также покупают</t>
        </is>
      </c>
      <c r="B71" s="11" t="inlineStr">
        <is>
          <t>Одежда, бельё, моющие и чистящие</t>
        </is>
      </c>
      <c r="C71" s="11" t="inlineStr">
        <is>
          <t>Подарочные сертификаты, сувениры и подарки</t>
        </is>
      </c>
      <c r="D71" s="10" t="n"/>
    </row>
    <row r="72" ht="45" customHeight="1">
      <c r="A72" s="18" t="inlineStr">
        <is>
          <t>Вывод: У вас пол сбалансирован (54% женщин), основной возраст 25–34 (39%). Платёжеспособнее категории: чек 3–10 тыс. у 33% против 14%. Таргет: оба пола 25–44. Данные по категории выглядят нетипично (70% мужчин, пол определён у 100%) — перепроверить в кабинете.</t>
        </is>
      </c>
    </row>
    <row r="74" ht="22" customHeight="1">
      <c r="A74" s="3" t="inlineStr">
        <is>
          <t>Утюги и отпариватели</t>
        </is>
      </c>
    </row>
    <row r="75">
      <c r="A75" s="4" t="inlineStr">
        <is>
          <t>Показатель</t>
        </is>
      </c>
      <c r="B75" s="4" t="inlineStr">
        <is>
          <t>Мои покупатели</t>
        </is>
      </c>
      <c r="C75" s="4" t="inlineStr">
        <is>
          <t>Вся категория</t>
        </is>
      </c>
      <c r="D75" s="4" t="inlineStr">
        <is>
          <t>Разница</t>
        </is>
      </c>
    </row>
    <row r="76" ht="30" customHeight="1">
      <c r="A76" s="15" t="inlineStr">
        <is>
          <t>Охват, чел.</t>
        </is>
      </c>
      <c r="B76" s="11" t="inlineStr">
        <is>
          <t>~8 000</t>
        </is>
      </c>
      <c r="C76" s="11" t="inlineStr">
        <is>
          <t>~3 749 000</t>
        </is>
      </c>
      <c r="D76" s="10" t="n"/>
    </row>
    <row r="77">
      <c r="A77" s="15" t="inlineStr">
        <is>
          <t>Мужчины</t>
        </is>
      </c>
      <c r="B77" s="16" t="n">
        <v>0.4372</v>
      </c>
      <c r="C77" s="16" t="n">
        <v>0.4594</v>
      </c>
      <c r="D77" s="17">
        <f>B77-C77</f>
        <v/>
      </c>
    </row>
    <row r="78">
      <c r="A78" s="15" t="inlineStr">
        <is>
          <t>Женщины</t>
        </is>
      </c>
      <c r="B78" s="16" t="n">
        <v>0.5628</v>
      </c>
      <c r="C78" s="16" t="n">
        <v>0.5406</v>
      </c>
      <c r="D78" s="17">
        <f>B78-C78</f>
        <v/>
      </c>
    </row>
    <row r="79">
      <c r="A79" s="15" t="inlineStr">
        <is>
          <t>Пол/возраст определены</t>
        </is>
      </c>
      <c r="B79" s="16" t="n">
        <v>0.6788</v>
      </c>
      <c r="C79" s="16" t="n">
        <v>0.6231</v>
      </c>
      <c r="D79" s="17">
        <f>B79-C79</f>
        <v/>
      </c>
    </row>
    <row r="80">
      <c r="A80" s="15" t="inlineStr">
        <is>
          <t>Возраст до 18</t>
        </is>
      </c>
      <c r="B80" s="16" t="n">
        <v>0.002</v>
      </c>
      <c r="C80" s="16" t="n">
        <v>0.0033</v>
      </c>
      <c r="D80" s="17">
        <f>B80-C80</f>
        <v/>
      </c>
    </row>
    <row r="81">
      <c r="A81" s="15" t="inlineStr">
        <is>
          <t>Возраст 18–24</t>
        </is>
      </c>
      <c r="B81" s="16" t="n">
        <v>0.1957</v>
      </c>
      <c r="C81" s="16" t="n">
        <v>0.1573</v>
      </c>
      <c r="D81" s="17">
        <f>B81-C81</f>
        <v/>
      </c>
    </row>
    <row r="82">
      <c r="A82" s="15" t="inlineStr">
        <is>
          <t>Возраст 25–34</t>
        </is>
      </c>
      <c r="B82" s="16" t="n">
        <v>0.3574</v>
      </c>
      <c r="C82" s="16" t="n">
        <v>0.3367</v>
      </c>
      <c r="D82" s="17">
        <f>B82-C82</f>
        <v/>
      </c>
    </row>
    <row r="83">
      <c r="A83" s="15" t="inlineStr">
        <is>
          <t>Возраст 35–44</t>
        </is>
      </c>
      <c r="B83" s="16" t="n">
        <v>0.2985</v>
      </c>
      <c r="C83" s="16" t="n">
        <v>0.328</v>
      </c>
      <c r="D83" s="17">
        <f>B83-C83</f>
        <v/>
      </c>
    </row>
    <row r="84">
      <c r="A84" s="15" t="inlineStr">
        <is>
          <t>Возраст 45–54</t>
        </is>
      </c>
      <c r="B84" s="16" t="n">
        <v>0.1037</v>
      </c>
      <c r="C84" s="16" t="n">
        <v>0.127</v>
      </c>
      <c r="D84" s="17">
        <f>B84-C84</f>
        <v/>
      </c>
    </row>
    <row r="85">
      <c r="A85" s="15" t="inlineStr">
        <is>
          <t>Возраст 55+</t>
        </is>
      </c>
      <c r="B85" s="16" t="n">
        <v>0.04269999999999999</v>
      </c>
      <c r="C85" s="16" t="n">
        <v>0.04769999999999999</v>
      </c>
      <c r="D85" s="17">
        <f>B85-C85</f>
        <v/>
      </c>
    </row>
    <row r="86">
      <c r="A86" s="15" t="inlineStr">
        <is>
          <t>Средний чек до 999 ₽</t>
        </is>
      </c>
      <c r="B86" s="16" t="n">
        <v>0.1901</v>
      </c>
      <c r="C86" s="16" t="n">
        <v>0.3398</v>
      </c>
      <c r="D86" s="17">
        <f>B86-C86</f>
        <v/>
      </c>
    </row>
    <row r="87">
      <c r="A87" s="15" t="inlineStr">
        <is>
          <t>Средний чек 1 000–2 999 ₽</t>
        </is>
      </c>
      <c r="B87" s="16" t="n">
        <v>0.5992999999999999</v>
      </c>
      <c r="C87" s="16" t="n">
        <v>0.5102</v>
      </c>
      <c r="D87" s="17">
        <f>B87-C87</f>
        <v/>
      </c>
    </row>
    <row r="88">
      <c r="A88" s="15" t="inlineStr">
        <is>
          <t>Средний чек 3 000–9 999 ₽</t>
        </is>
      </c>
      <c r="B88" s="16" t="n">
        <v>0.1983</v>
      </c>
      <c r="C88" s="16" t="n">
        <v>0.1372</v>
      </c>
      <c r="D88" s="17">
        <f>B88-C88</f>
        <v/>
      </c>
    </row>
    <row r="89">
      <c r="A89" s="15" t="inlineStr">
        <is>
          <t>Средний чек 10 000–29 999 ₽</t>
        </is>
      </c>
      <c r="B89" s="16" t="n">
        <v>0.0109</v>
      </c>
      <c r="C89" s="16" t="n">
        <v>0.0108</v>
      </c>
      <c r="D89" s="17">
        <f>B89-C89</f>
        <v/>
      </c>
    </row>
    <row r="90">
      <c r="A90" s="15" t="inlineStr">
        <is>
          <t>Средний чек 30 000+ ₽</t>
        </is>
      </c>
      <c r="B90" s="16" t="n">
        <v>0.0014</v>
      </c>
      <c r="C90" s="16" t="n">
        <v>0.002</v>
      </c>
      <c r="D90" s="17">
        <f>B90-C90</f>
        <v/>
      </c>
    </row>
    <row r="91" ht="30" customHeight="1">
      <c r="A91" s="15" t="inlineStr">
        <is>
          <t>Топ кластеров</t>
        </is>
      </c>
      <c r="B91" s="11" t="inlineStr">
        <is>
          <t>Москва и МО 14.5%, Казань 9.6%, Екатеринбург 8.6%, Центр 8.1%, СПб 7.0%</t>
        </is>
      </c>
      <c r="C91" s="11" t="inlineStr">
        <is>
          <t>Москва и МО 14.3%, Казань 10.2%, Екатеринбург 8.1%, Краснодар 8.0%, Центр 7.4%</t>
        </is>
      </c>
      <c r="D91" s="10" t="n"/>
    </row>
    <row r="92" ht="30" customHeight="1">
      <c r="A92" s="15" t="inlineStr">
        <is>
          <t>Также покупают</t>
        </is>
      </c>
      <c r="B92" s="11" t="inlineStr">
        <is>
          <t>Одежда, бельё</t>
        </is>
      </c>
      <c r="C92" s="11" t="inlineStr">
        <is>
          <t>Одежда, бельё</t>
        </is>
      </c>
      <c r="D92" s="10" t="n"/>
    </row>
    <row r="93" ht="45" customHeight="1">
      <c r="A93" s="18" t="inlineStr">
        <is>
          <t>Вывод: Самая большая ваша аудитория (~8 000). Портрет почти как у категории: женщины 56%, 25–44 года, чуть моложе (18–34 = 55% против 49%). Чек выше: 3–10 тыс. у 20% против 14%. Таргет: женщины 25–44 + сегменты «вся категория».</t>
        </is>
      </c>
    </row>
    <row r="95" ht="22" customHeight="1">
      <c r="A95" s="3" t="inlineStr">
        <is>
          <t>Электрические чайники и термопоты</t>
        </is>
      </c>
    </row>
    <row r="96">
      <c r="A96" s="4" t="inlineStr">
        <is>
          <t>Показатель</t>
        </is>
      </c>
      <c r="B96" s="4" t="inlineStr">
        <is>
          <t>Мои покупатели</t>
        </is>
      </c>
      <c r="C96" s="4" t="inlineStr">
        <is>
          <t>Вся категория</t>
        </is>
      </c>
      <c r="D96" s="4" t="inlineStr">
        <is>
          <t>Разница</t>
        </is>
      </c>
    </row>
    <row r="97" ht="30" customHeight="1">
      <c r="A97" s="15" t="inlineStr">
        <is>
          <t>Охват, чел.</t>
        </is>
      </c>
      <c r="B97" s="11" t="inlineStr">
        <is>
          <t>&lt; 1 000</t>
        </is>
      </c>
      <c r="C97" s="11" t="inlineStr">
        <is>
          <t>~3 902 000</t>
        </is>
      </c>
      <c r="D97" s="10" t="n"/>
    </row>
    <row r="98">
      <c r="A98" s="15" t="inlineStr">
        <is>
          <t>Мужчины</t>
        </is>
      </c>
      <c r="B98" s="16" t="inlineStr">
        <is>
          <t>нет данных</t>
        </is>
      </c>
      <c r="C98" s="16" t="n">
        <v>0.5502</v>
      </c>
      <c r="D98" s="10" t="n"/>
    </row>
    <row r="99">
      <c r="A99" s="15" t="inlineStr">
        <is>
          <t>Женщины</t>
        </is>
      </c>
      <c r="B99" s="16" t="inlineStr">
        <is>
          <t>нет данных</t>
        </is>
      </c>
      <c r="C99" s="16" t="n">
        <v>0.4498</v>
      </c>
      <c r="D99" s="10" t="n"/>
    </row>
    <row r="100">
      <c r="A100" s="15" t="inlineStr">
        <is>
          <t>Пол/возраст определены</t>
        </is>
      </c>
      <c r="B100" s="16" t="inlineStr">
        <is>
          <t>нет данных</t>
        </is>
      </c>
      <c r="C100" s="16" t="n">
        <v>0.6231</v>
      </c>
      <c r="D100" s="10" t="n"/>
    </row>
    <row r="101">
      <c r="A101" s="15" t="inlineStr">
        <is>
          <t>Возраст до 18</t>
        </is>
      </c>
      <c r="B101" s="16" t="inlineStr">
        <is>
          <t>нет данных</t>
        </is>
      </c>
      <c r="C101" s="16" t="n">
        <v>0.0031</v>
      </c>
      <c r="D101" s="10" t="n"/>
    </row>
    <row r="102">
      <c r="A102" s="15" t="inlineStr">
        <is>
          <t>Возраст 18–24</t>
        </is>
      </c>
      <c r="B102" s="16" t="inlineStr">
        <is>
          <t>нет данных</t>
        </is>
      </c>
      <c r="C102" s="16" t="n">
        <v>0.1551</v>
      </c>
      <c r="D102" s="10" t="n"/>
    </row>
    <row r="103">
      <c r="A103" s="15" t="inlineStr">
        <is>
          <t>Возраст 25–34</t>
        </is>
      </c>
      <c r="B103" s="16" t="inlineStr">
        <is>
          <t>нет данных</t>
        </is>
      </c>
      <c r="C103" s="16" t="n">
        <v>0.3167</v>
      </c>
      <c r="D103" s="10" t="n"/>
    </row>
    <row r="104">
      <c r="A104" s="15" t="inlineStr">
        <is>
          <t>Возраст 35–44</t>
        </is>
      </c>
      <c r="B104" s="16" t="inlineStr">
        <is>
          <t>нет данных</t>
        </is>
      </c>
      <c r="C104" s="16" t="n">
        <v>0.3229</v>
      </c>
      <c r="D104" s="10" t="n"/>
    </row>
    <row r="105">
      <c r="A105" s="15" t="inlineStr">
        <is>
          <t>Возраст 45–54</t>
        </is>
      </c>
      <c r="B105" s="16" t="inlineStr">
        <is>
          <t>нет данных</t>
        </is>
      </c>
      <c r="C105" s="16" t="n">
        <v>0.1395</v>
      </c>
      <c r="D105" s="10" t="n"/>
    </row>
    <row r="106">
      <c r="A106" s="15" t="inlineStr">
        <is>
          <t>Возраст 55+</t>
        </is>
      </c>
      <c r="B106" s="16" t="inlineStr">
        <is>
          <t>нет данных</t>
        </is>
      </c>
      <c r="C106" s="16" t="n">
        <v>0.06269999999999999</v>
      </c>
      <c r="D106" s="10" t="n"/>
    </row>
    <row r="107">
      <c r="A107" s="15" t="inlineStr">
        <is>
          <t>Средний чек до 999 ₽</t>
        </is>
      </c>
      <c r="B107" s="16" t="inlineStr">
        <is>
          <t>нет данных</t>
        </is>
      </c>
      <c r="C107" s="16" t="n">
        <v>0.3306</v>
      </c>
      <c r="D107" s="10" t="n"/>
    </row>
    <row r="108">
      <c r="A108" s="15" t="inlineStr">
        <is>
          <t>Средний чек 1 000–2 999 ₽</t>
        </is>
      </c>
      <c r="B108" s="16" t="inlineStr">
        <is>
          <t>нет данных</t>
        </is>
      </c>
      <c r="C108" s="16" t="n">
        <v>0.515</v>
      </c>
      <c r="D108" s="10" t="n"/>
    </row>
    <row r="109">
      <c r="A109" s="15" t="inlineStr">
        <is>
          <t>Средний чек 3 000–9 999 ₽</t>
        </is>
      </c>
      <c r="B109" s="16" t="inlineStr">
        <is>
          <t>нет данных</t>
        </is>
      </c>
      <c r="C109" s="16" t="n">
        <v>0.1398</v>
      </c>
      <c r="D109" s="10" t="n"/>
    </row>
    <row r="110">
      <c r="A110" s="15" t="inlineStr">
        <is>
          <t>Средний чек 10 000–29 999 ₽</t>
        </is>
      </c>
      <c r="B110" s="16" t="inlineStr">
        <is>
          <t>нет данных</t>
        </is>
      </c>
      <c r="C110" s="16" t="n">
        <v>0.0126</v>
      </c>
      <c r="D110" s="10" t="n"/>
    </row>
    <row r="111">
      <c r="A111" s="15" t="inlineStr">
        <is>
          <t>Средний чек 30 000+ ₽</t>
        </is>
      </c>
      <c r="B111" s="16" t="inlineStr">
        <is>
          <t>нет данных</t>
        </is>
      </c>
      <c r="C111" s="16" t="n">
        <v>0.002</v>
      </c>
      <c r="D111" s="10" t="n"/>
    </row>
    <row r="112" ht="30" customHeight="1">
      <c r="A112" s="15" t="inlineStr">
        <is>
          <t>Топ кластеров</t>
        </is>
      </c>
      <c r="B112" s="11" t="inlineStr">
        <is>
          <t>мало данных</t>
        </is>
      </c>
      <c r="C112" s="11" t="inlineStr">
        <is>
          <t>Москва и МО 16.0%, Казань 9.8%, Екатеринбург 8.1%, Краснодар 7.6%, СПб 7.5%</t>
        </is>
      </c>
      <c r="D112" s="10" t="n"/>
    </row>
    <row r="113" ht="30" customHeight="1">
      <c r="A113" s="15" t="inlineStr">
        <is>
          <t>Также покупают</t>
        </is>
      </c>
      <c r="B113" s="11" t="inlineStr">
        <is>
          <t>—</t>
        </is>
      </c>
      <c r="C113" s="11" t="inlineStr">
        <is>
          <t>Одежда, бельё</t>
        </is>
      </c>
      <c r="D113" s="10" t="n"/>
    </row>
    <row r="114" ht="45" customHeight="1">
      <c r="A114" s="18" t="inlineStr">
        <is>
          <t>Вывод: У вас слишком мало покупателей — Ozon не показывает портрет. Ориентир — категория: М 55% / Ж 45%, 25–44 года, чек 1–3 тыс. Таргет: автоподбор или сегменты «вся категория», оба пола 25–44.</t>
        </is>
      </c>
    </row>
    <row r="116" ht="22" customHeight="1">
      <c r="A116" s="3" t="inlineStr">
        <is>
          <t>Тренажеры</t>
        </is>
      </c>
    </row>
    <row r="117">
      <c r="A117" s="4" t="inlineStr">
        <is>
          <t>Показатель</t>
        </is>
      </c>
      <c r="B117" s="4" t="inlineStr">
        <is>
          <t>Мои покупатели</t>
        </is>
      </c>
      <c r="C117" s="4" t="inlineStr">
        <is>
          <t>Вся категория</t>
        </is>
      </c>
      <c r="D117" s="4" t="inlineStr">
        <is>
          <t>Разница</t>
        </is>
      </c>
    </row>
    <row r="118" ht="30" customHeight="1">
      <c r="A118" s="15" t="inlineStr">
        <is>
          <t>Охват, чел.</t>
        </is>
      </c>
      <c r="B118" s="11" t="inlineStr">
        <is>
          <t>~1 000</t>
        </is>
      </c>
      <c r="C118" s="11" t="inlineStr">
        <is>
          <t>~3 386 000</t>
        </is>
      </c>
      <c r="D118" s="10" t="n"/>
    </row>
    <row r="119">
      <c r="A119" s="15" t="inlineStr">
        <is>
          <t>Мужчины</t>
        </is>
      </c>
      <c r="B119" s="16" t="n">
        <v>0.4423</v>
      </c>
      <c r="C119" s="16" t="n">
        <v>0.5477000000000001</v>
      </c>
      <c r="D119" s="17">
        <f>B119-C119</f>
        <v/>
      </c>
    </row>
    <row r="120">
      <c r="A120" s="15" t="inlineStr">
        <is>
          <t>Женщины</t>
        </is>
      </c>
      <c r="B120" s="16" t="n">
        <v>0.5577000000000001</v>
      </c>
      <c r="C120" s="16" t="n">
        <v>0.4523</v>
      </c>
      <c r="D120" s="17">
        <f>B120-C120</f>
        <v/>
      </c>
    </row>
    <row r="121">
      <c r="A121" s="15" t="inlineStr">
        <is>
          <t>Пол/возраст определены</t>
        </is>
      </c>
      <c r="B121" s="16" t="n">
        <v>0.7134</v>
      </c>
      <c r="C121" s="16" t="n">
        <v>0.6291</v>
      </c>
      <c r="D121" s="17">
        <f>B121-C121</f>
        <v/>
      </c>
    </row>
    <row r="122">
      <c r="A122" s="15" t="inlineStr">
        <is>
          <t>Возраст до 18</t>
        </is>
      </c>
      <c r="B122" s="16" t="n">
        <v>0.0011</v>
      </c>
      <c r="C122" s="16" t="n">
        <v>0.0022</v>
      </c>
      <c r="D122" s="17">
        <f>B122-C122</f>
        <v/>
      </c>
    </row>
    <row r="123">
      <c r="A123" s="15" t="inlineStr">
        <is>
          <t>Возраст 18–24</t>
        </is>
      </c>
      <c r="B123" s="16" t="n">
        <v>0.09080000000000001</v>
      </c>
      <c r="C123" s="16" t="n">
        <v>0.1511</v>
      </c>
      <c r="D123" s="17">
        <f>B123-C123</f>
        <v/>
      </c>
    </row>
    <row r="124">
      <c r="A124" s="15" t="inlineStr">
        <is>
          <t>Возраст 25–34</t>
        </is>
      </c>
      <c r="B124" s="16" t="n">
        <v>0.369</v>
      </c>
      <c r="C124" s="16" t="n">
        <v>0.3642</v>
      </c>
      <c r="D124" s="17">
        <f>B124-C124</f>
        <v/>
      </c>
    </row>
    <row r="125">
      <c r="A125" s="15" t="inlineStr">
        <is>
          <t>Возраст 35–44</t>
        </is>
      </c>
      <c r="B125" s="16" t="n">
        <v>0.3851</v>
      </c>
      <c r="C125" s="16" t="n">
        <v>0.3248</v>
      </c>
      <c r="D125" s="17">
        <f>B125-C125</f>
        <v/>
      </c>
    </row>
    <row r="126">
      <c r="A126" s="15" t="inlineStr">
        <is>
          <t>Возраст 45–54</t>
        </is>
      </c>
      <c r="B126" s="16" t="n">
        <v>0.1218</v>
      </c>
      <c r="C126" s="16" t="n">
        <v>0.1123</v>
      </c>
      <c r="D126" s="17">
        <f>B126-C126</f>
        <v/>
      </c>
    </row>
    <row r="127">
      <c r="A127" s="15" t="inlineStr">
        <is>
          <t>Возраст 55+</t>
        </is>
      </c>
      <c r="B127" s="16" t="n">
        <v>0.0322</v>
      </c>
      <c r="C127" s="16" t="n">
        <v>0.0454</v>
      </c>
      <c r="D127" s="17">
        <f>B127-C127</f>
        <v/>
      </c>
    </row>
    <row r="128">
      <c r="A128" s="15" t="inlineStr">
        <is>
          <t>Средний чек до 999 ₽</t>
        </is>
      </c>
      <c r="B128" s="16" t="n">
        <v>0.1041</v>
      </c>
      <c r="C128" s="16" t="n">
        <v>0.3277</v>
      </c>
      <c r="D128" s="17">
        <f>B128-C128</f>
        <v/>
      </c>
    </row>
    <row r="129">
      <c r="A129" s="15" t="inlineStr">
        <is>
          <t>Средний чек 1 000–2 999 ₽</t>
        </is>
      </c>
      <c r="B129" s="16" t="n">
        <v>0.5328000000000001</v>
      </c>
      <c r="C129" s="16" t="n">
        <v>0.511</v>
      </c>
      <c r="D129" s="17">
        <f>B129-C129</f>
        <v/>
      </c>
    </row>
    <row r="130">
      <c r="A130" s="15" t="inlineStr">
        <is>
          <t>Средний чек 3 000–9 999 ₽</t>
        </is>
      </c>
      <c r="B130" s="16" t="n">
        <v>0.3252</v>
      </c>
      <c r="C130" s="16" t="n">
        <v>0.1475</v>
      </c>
      <c r="D130" s="17">
        <f>B130-C130</f>
        <v/>
      </c>
    </row>
    <row r="131">
      <c r="A131" s="15" t="inlineStr">
        <is>
          <t>Средний чек 10 000–29 999 ₽</t>
        </is>
      </c>
      <c r="B131" s="16" t="n">
        <v>0.0347</v>
      </c>
      <c r="C131" s="16" t="n">
        <v>0.0117</v>
      </c>
      <c r="D131" s="17">
        <f>B131-C131</f>
        <v/>
      </c>
    </row>
    <row r="132">
      <c r="A132" s="15" t="inlineStr">
        <is>
          <t>Средний чек 30 000+ ₽</t>
        </is>
      </c>
      <c r="B132" s="16" t="n">
        <v>0.0032</v>
      </c>
      <c r="C132" s="16" t="n">
        <v>0.0021</v>
      </c>
      <c r="D132" s="17">
        <f>B132-C132</f>
        <v/>
      </c>
    </row>
    <row r="133" ht="30" customHeight="1">
      <c r="A133" s="15" t="inlineStr">
        <is>
          <t>Топ кластеров</t>
        </is>
      </c>
      <c r="B133" s="11" t="inlineStr">
        <is>
          <t>Москва и МО 19.7%, Казань 10.7%, Краснодар 9.3%, Екатеринбург 8.7%, Центр 6.9%</t>
        </is>
      </c>
      <c r="C133" s="11" t="inlineStr">
        <is>
          <t>Москва и МО 14.0%, Казань 10.1%, Екатеринбург 9.0%, Краснодар 8.0%, Центр 6.8%</t>
        </is>
      </c>
      <c r="D133" s="10" t="n"/>
    </row>
    <row r="134" ht="30" customHeight="1">
      <c r="A134" s="15" t="inlineStr">
        <is>
          <t>Также покупают</t>
        </is>
      </c>
      <c r="B134" s="11" t="inlineStr">
        <is>
          <t>Одежда, бельё</t>
        </is>
      </c>
      <c r="C134" s="11" t="inlineStr">
        <is>
          <t>Одежда, бельё</t>
        </is>
      </c>
      <c r="D134" s="10" t="n"/>
    </row>
    <row r="135" ht="45" customHeight="1">
      <c r="A135" s="18" t="inlineStr">
        <is>
          <t>Вывод: Ваш покупатель — женщина (56%, в категории наоборот 55% мужчин), старше категории: 35–44 = 39% против 32%, 18–24 всего 9%. Платёжеспособнее: чек 3–10 тыс. у 33% против 15%. Москва у вас сильнее (20% против 14%). Таргет: женщины 25–44, Москва и МО.</t>
        </is>
      </c>
    </row>
    <row r="137">
      <c r="A137" s="13" t="inlineStr">
        <is>
          <t>Источник: личный кабинет Ozon Seller, раздел «Портрет покупателя» (конструктор сегментов), данные выгружены 26.10.2026. Выводы — аналитика по этим данным.</t>
        </is>
      </c>
    </row>
  </sheetData>
  <mergeCells count="19">
    <mergeCell ref="A116:J116"/>
    <mergeCell ref="A5:J5"/>
    <mergeCell ref="A32:J32"/>
    <mergeCell ref="A8:J8"/>
    <mergeCell ref="A135:J135"/>
    <mergeCell ref="A53:J53"/>
    <mergeCell ref="A4:J4"/>
    <mergeCell ref="A72:J72"/>
    <mergeCell ref="A93:J93"/>
    <mergeCell ref="A9:J9"/>
    <mergeCell ref="A30:J30"/>
    <mergeCell ref="A114:J114"/>
    <mergeCell ref="A51:J51"/>
    <mergeCell ref="A11:J11"/>
    <mergeCell ref="A6:J6"/>
    <mergeCell ref="A7:J7"/>
    <mergeCell ref="A137:J137"/>
    <mergeCell ref="A74:J74"/>
    <mergeCell ref="A95:J95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13" customWidth="1" min="4" max="4"/>
    <col width="16" customWidth="1" min="5" max="5"/>
    <col width="20" customWidth="1" min="6" max="6"/>
    <col width="28" customWidth="1" min="7" max="7"/>
    <col width="42" customWidth="1" min="8" max="8"/>
    <col width="22" customWidth="1" min="9" max="9"/>
    <col width="7" customWidth="1" min="10" max="10"/>
    <col width="38" customWidth="1" min="11" max="11"/>
    <col width="7" customWidth="1" min="12" max="12"/>
  </cols>
  <sheetData>
    <row r="1">
      <c r="A1" s="1" t="inlineStr">
        <is>
          <t>Смежные категории: портрет и тексты для баннеров</t>
        </is>
      </c>
    </row>
    <row r="2">
      <c r="A2" s="2" t="inlineStr">
        <is>
          <t>Покупатели смежных категорий на Ozon (все продавцы, 365 дней). Тексты — черновики для дизайнера, выгрузка 26.10.2026.</t>
        </is>
      </c>
    </row>
    <row r="4" ht="32" customHeight="1">
      <c r="A4" s="4" t="inlineStr">
        <is>
          <t>Смежная категория</t>
        </is>
      </c>
      <c r="B4" s="4" t="inlineStr">
        <is>
          <t>Категория в конструкторе (ур. 2 / ур. 3)</t>
        </is>
      </c>
      <c r="C4" s="4" t="inlineStr">
        <is>
          <t>Ваш товар</t>
        </is>
      </c>
      <c r="D4" s="4" t="inlineStr">
        <is>
          <t>Тип</t>
        </is>
      </c>
      <c r="E4" s="4" t="inlineStr">
        <is>
          <t>Пол</t>
        </is>
      </c>
      <c r="F4" s="4" t="inlineStr">
        <is>
          <t>Возраст</t>
        </is>
      </c>
      <c r="G4" s="4" t="inlineStr">
        <is>
          <t>География (топ-3)</t>
        </is>
      </c>
      <c r="H4" s="4" t="inlineStr">
        <is>
          <t>Чем зацепить</t>
        </is>
      </c>
      <c r="I4" s="4" t="inlineStr">
        <is>
          <t>Заголовок (до 18 симв.)</t>
        </is>
      </c>
      <c r="J4" s="4" t="inlineStr">
        <is>
          <t>Симв.</t>
        </is>
      </c>
      <c r="K4" s="4" t="inlineStr">
        <is>
          <t>Подзаголовок (до 42 симв.)</t>
        </is>
      </c>
      <c r="L4" s="4" t="inlineStr">
        <is>
          <t>Симв.</t>
        </is>
      </c>
    </row>
    <row r="5" ht="52" customHeight="1">
      <c r="A5" s="5" t="inlineStr">
        <is>
          <t>Капсульные кофемашины</t>
        </is>
      </c>
      <c r="B5" s="11" t="inlineStr">
        <is>
          <t>Ур. 2: Кофеварки и кофемашины
Ур. 3: Капсульная кофемашина</t>
        </is>
      </c>
      <c r="C5" s="11" t="inlineStr">
        <is>
          <t>Кофемашина (капсулы + молотый)</t>
        </is>
      </c>
      <c r="D5" s="19" t="inlineStr">
        <is>
          <t>Конкуренты</t>
        </is>
      </c>
      <c r="E5" s="11" t="inlineStr">
        <is>
          <t>М 58% / Ж 42%</t>
        </is>
      </c>
      <c r="F5" s="11" t="inlineStr">
        <is>
          <t>25–44 (64%)</t>
        </is>
      </c>
      <c r="G5" s="11" t="inlineStr">
        <is>
          <t>Москва и МО 25%, СПб 10%, Казань 8%</t>
        </is>
      </c>
      <c r="H5" s="11" t="inlineStr">
        <is>
          <t>Ваша же категория — перехват покупателей конкурентов. Платёжеспособные, Москва и СПб. Козырь: любые капсулы + молотый кофе в одной машине</t>
        </is>
      </c>
      <c r="I5" s="5" t="inlineStr">
        <is>
          <t>Любые капсулы</t>
        </is>
      </c>
      <c r="J5" s="6">
        <f>LEN(I5)</f>
        <v/>
      </c>
      <c r="K5" s="11" t="inlineStr">
        <is>
          <t>Капсулы и молотый кофе в одной машине</t>
        </is>
      </c>
      <c r="L5" s="6">
        <f>LEN(K5)</f>
        <v/>
      </c>
    </row>
    <row r="6" ht="52" customHeight="1">
      <c r="A6" s="5" t="inlineStr">
        <is>
          <t>Проекторы</t>
        </is>
      </c>
      <c r="B6" s="11" t="inlineStr">
        <is>
          <t>Ур. 2: Проекторы
Ур. 3: Проектор</t>
        </is>
      </c>
      <c r="C6" s="11" t="inlineStr">
        <is>
          <t>Кофемашина</t>
        </is>
      </c>
      <c r="D6" s="20" t="inlineStr">
        <is>
          <t>Аудитория</t>
        </is>
      </c>
      <c r="E6" s="11" t="inlineStr">
        <is>
          <t>М 67% / Ж 33%</t>
        </is>
      </c>
      <c r="F6" s="11" t="inlineStr">
        <is>
          <t>25–44 (73%), больше всего 25–34</t>
        </is>
      </c>
      <c r="G6" s="11" t="inlineStr">
        <is>
          <t>Москва и МО 16%, Казань 10%, Екатеринбург 8%</t>
        </is>
      </c>
      <c r="H6" s="11" t="inlineStr">
        <is>
          <t>Молодые любители техники, создают уют дома: кино-вечера. Кофе — часть домашнего ритуала</t>
        </is>
      </c>
      <c r="I6" s="5" t="inlineStr">
        <is>
          <t>Кино и кофе дома</t>
        </is>
      </c>
      <c r="J6" s="6">
        <f>LEN(I6)</f>
        <v/>
      </c>
      <c r="K6" s="11" t="inlineStr">
        <is>
          <t>Кофемашина для уютных вечеров дома</t>
        </is>
      </c>
      <c r="L6" s="6">
        <f>LEN(K6)</f>
        <v/>
      </c>
    </row>
    <row r="7" ht="52" customHeight="1">
      <c r="A7" s="5" t="inlineStr">
        <is>
          <t>Электроинструмент (шлифмашины, дрели, пилы)</t>
        </is>
      </c>
      <c r="B7" s="11" t="inlineStr">
        <is>
          <t>Ур. 2: Шлифовальные машины, Электродрели, Электропилы
Ур. 3: Шлифмашина, Дрель-шуруповерт, Электропила, Гайковерт</t>
        </is>
      </c>
      <c r="C7" s="11" t="inlineStr">
        <is>
          <t>Вертикальный пылесос</t>
        </is>
      </c>
      <c r="D7" s="20" t="inlineStr">
        <is>
          <t>Аудитория</t>
        </is>
      </c>
      <c r="E7" s="11" t="inlineStr">
        <is>
          <t>М 71–79% / Ж 21–29%</t>
        </is>
      </c>
      <c r="F7" s="11" t="inlineStr">
        <is>
          <t>25–44 (≈67%), больше всего 35–44</t>
        </is>
      </c>
      <c r="G7" s="11" t="inlineStr">
        <is>
          <t>Москва и МО 11%, Казань 10%, Екатеринбург 8%</t>
        </is>
      </c>
      <c r="H7" s="11" t="inlineStr">
        <is>
          <t>Мужчины, сами делают ремонт. После работы — пыль и мусор. Ценят мощность и надёжность</t>
        </is>
      </c>
      <c r="I7" s="5" t="inlineStr">
        <is>
          <t>Порядок без усилий</t>
        </is>
      </c>
      <c r="J7" s="6">
        <f>LEN(I7)</f>
        <v/>
      </c>
      <c r="K7" s="11" t="inlineStr">
        <is>
          <t>Беспроводной пылесос для дома и гаража</t>
        </is>
      </c>
      <c r="L7" s="6">
        <f>LEN(K7)</f>
        <v/>
      </c>
    </row>
    <row r="8" ht="52" customHeight="1">
      <c r="A8" s="5" t="inlineStr">
        <is>
          <t>Садовый электроинструмент</t>
        </is>
      </c>
      <c r="B8" s="11" t="inlineStr">
        <is>
          <t>Ур. 2: Садовый электроинструмент
Ур. 3: Триммер садовый, Воздуходувка</t>
        </is>
      </c>
      <c r="C8" s="11" t="inlineStr">
        <is>
          <t>Аэрогриль</t>
        </is>
      </c>
      <c r="D8" s="20" t="inlineStr">
        <is>
          <t>Аудитория</t>
        </is>
      </c>
      <c r="E8" s="11" t="inlineStr">
        <is>
          <t>М 63% / Ж 37%</t>
        </is>
      </c>
      <c r="F8" s="11" t="inlineStr">
        <is>
          <t>35–54 (57%) — самая взрослая</t>
        </is>
      </c>
      <c r="G8" s="11" t="inlineStr">
        <is>
          <t>Москва и МО 13%, Казань 11%, Екатеринбург 9%</t>
        </is>
      </c>
      <c r="H8" s="11" t="inlineStr">
        <is>
          <t>Дачники, свой дом за городом. Сезон весна–лето. На даче нет духовки — нужна техника, которая её заменит</t>
        </is>
      </c>
      <c r="I8" s="5" t="inlineStr">
        <is>
          <t>Для дома и дачи</t>
        </is>
      </c>
      <c r="J8" s="6">
        <f>LEN(I8)</f>
        <v/>
      </c>
      <c r="K8" s="11" t="inlineStr">
        <is>
          <t>Аэрогриль заменит духовку за городом</t>
        </is>
      </c>
      <c r="L8" s="6">
        <f>LEN(K8)</f>
        <v/>
      </c>
    </row>
    <row r="9" ht="52" customHeight="1">
      <c r="A9" s="5" t="inlineStr">
        <is>
          <t>Электроника для автомобиля</t>
        </is>
      </c>
      <c r="B9" s="11" t="inlineStr">
        <is>
          <t>Ур. 2: Электроника для автомобиля
Ур. 3: Видеорегистратор автомобильный, Компрессор автомобильный</t>
        </is>
      </c>
      <c r="C9" s="11" t="inlineStr">
        <is>
          <t>Компактный моющий пылесос</t>
        </is>
      </c>
      <c r="D9" s="20" t="inlineStr">
        <is>
          <t>Аудитория</t>
        </is>
      </c>
      <c r="E9" s="11" t="inlineStr">
        <is>
          <t>М 80% / Ж 20%</t>
        </is>
      </c>
      <c r="F9" s="11" t="inlineStr">
        <is>
          <t>25–44 (68%)</t>
        </is>
      </c>
      <c r="G9" s="11" t="inlineStr">
        <is>
          <t>Москва и МО 13%, Казань 11%, Екатеринбург 8%</t>
        </is>
      </c>
      <c r="H9" s="11" t="inlineStr">
        <is>
          <t>Мужчины-автомобилисты, следят за машиной. Пятна на сиденьях — их боль</t>
        </is>
      </c>
      <c r="I9" s="5" t="inlineStr">
        <is>
          <t>Чистый салон</t>
        </is>
      </c>
      <c r="J9" s="6">
        <f>LEN(I9)</f>
        <v/>
      </c>
      <c r="K9" s="11" t="inlineStr">
        <is>
          <t>Компактный моющий пылесос для авто</t>
        </is>
      </c>
      <c r="L9" s="6">
        <f>LEN(K9)</f>
        <v/>
      </c>
    </row>
    <row r="10" ht="52" customHeight="1">
      <c r="A10" s="5" t="inlineStr">
        <is>
          <t>Машинки для стрижки, бритвы</t>
        </is>
      </c>
      <c r="B10" s="11" t="inlineStr">
        <is>
          <t>Ур. 2: Устройства для стрижки волос и аксессуары
Ур. 3: Электробритва, Триммер</t>
        </is>
      </c>
      <c r="C10" s="11" t="inlineStr">
        <is>
          <t>Кофемашина</t>
        </is>
      </c>
      <c r="D10" s="20" t="inlineStr">
        <is>
          <t>Аудитория</t>
        </is>
      </c>
      <c r="E10" s="11" t="inlineStr">
        <is>
          <t>М 69% / Ж 31%</t>
        </is>
      </c>
      <c r="F10" s="11" t="inlineStr">
        <is>
          <t>18–44 (83%), больше всего 25–34</t>
        </is>
      </c>
      <c r="G10" s="11" t="inlineStr">
        <is>
          <t>Москва и МО 13%, Казань 9%, Екатеринбург 8%</t>
        </is>
      </c>
      <c r="H10" s="11" t="inlineStr">
        <is>
          <t>Мужчины следят за собой, ценят быстрые утренние ритуалы</t>
        </is>
      </c>
      <c r="I10" s="5" t="inlineStr">
        <is>
          <t>Утренний ритуал</t>
        </is>
      </c>
      <c r="J10" s="6">
        <f>LEN(I10)</f>
        <v/>
      </c>
      <c r="K10" s="11" t="inlineStr">
        <is>
          <t>Кофемашина для быстрого и бодрого утра</t>
        </is>
      </c>
      <c r="L10" s="6">
        <f>LEN(K10)</f>
        <v/>
      </c>
    </row>
    <row r="11" ht="52" customHeight="1">
      <c r="A11" s="5" t="inlineStr">
        <is>
          <t>Фены и термощётки</t>
        </is>
      </c>
      <c r="B11" s="11" t="inlineStr">
        <is>
          <t>Ур. 2: Фены и термощетки
Ур. 3: Фен для волос</t>
        </is>
      </c>
      <c r="C11" s="11" t="inlineStr">
        <is>
          <t>Паровая швабра 7в1</t>
        </is>
      </c>
      <c r="D11" s="20" t="inlineStr">
        <is>
          <t>Аудитория</t>
        </is>
      </c>
      <c r="E11" s="11" t="inlineStr">
        <is>
          <t>Ж 59% / М 41%</t>
        </is>
      </c>
      <c r="F11" s="11" t="inlineStr">
        <is>
          <t>18–34 (56%)</t>
        </is>
      </c>
      <c r="G11" s="11" t="inlineStr">
        <is>
          <t>Москва и МО 14%, Казань 10%, Краснодар 8%</t>
        </is>
      </c>
      <c r="H11" s="11" t="inlineStr">
        <is>
          <t>Молодые женщины, следят за образом и экономят время. Паровая швабра 7в1 освежает и одежду</t>
        </is>
      </c>
      <c r="I11" s="5" t="inlineStr">
        <is>
          <t>Образ без складок</t>
        </is>
      </c>
      <c r="J11" s="6">
        <f>LEN(I11)</f>
        <v/>
      </c>
      <c r="K11" s="11" t="inlineStr">
        <is>
          <t>Паровая швабра 7в1 освежит и одежду</t>
        </is>
      </c>
      <c r="L11" s="6">
        <f>LEN(K11)</f>
        <v/>
      </c>
    </row>
    <row r="12" ht="52" customHeight="1">
      <c r="A12" s="5" t="inlineStr">
        <is>
          <t>Вакуумные упаковщики</t>
        </is>
      </c>
      <c r="B12" s="11" t="inlineStr">
        <is>
          <t>Ур. 2: Вакуумные упаковщики
Ур. 3: Вакуумный упаковщик</t>
        </is>
      </c>
      <c r="C12" s="11" t="inlineStr">
        <is>
          <t>Аэрогриль</t>
        </is>
      </c>
      <c r="D12" s="21" t="inlineStr">
        <is>
          <t>Размещение</t>
        </is>
      </c>
      <c r="E12" s="11" t="inlineStr">
        <is>
          <t>Ж 51% / М 49%</t>
        </is>
      </c>
      <c r="F12" s="11" t="inlineStr">
        <is>
          <t>25–44 (67%)</t>
        </is>
      </c>
      <c r="G12" s="11" t="inlineStr">
        <is>
          <t>Москва и МО 12%, Казань 11%, Екатеринбург 9%</t>
        </is>
      </c>
      <c r="H12" s="11" t="inlineStr">
        <is>
          <t>Готовят дома, делают заготовки, любят кухонные гаджеты</t>
        </is>
      </c>
      <c r="I12" s="5" t="inlineStr">
        <is>
          <t>Кухня на автомате</t>
        </is>
      </c>
      <c r="J12" s="6">
        <f>LEN(I12)</f>
        <v/>
      </c>
      <c r="K12" s="11" t="inlineStr">
        <is>
          <t>Аэрогриль: ужин почти без масла</t>
        </is>
      </c>
      <c r="L12" s="6">
        <f>LEN(K12)</f>
        <v/>
      </c>
    </row>
    <row r="13" ht="52" customHeight="1">
      <c r="A13" s="5" t="inlineStr">
        <is>
          <t>Пароочистители</t>
        </is>
      </c>
      <c r="B13" s="11" t="inlineStr">
        <is>
          <t>Ур. 3: Пароочиститель</t>
        </is>
      </c>
      <c r="C13" s="11" t="inlineStr">
        <is>
          <t>Паровая швабра 7в1</t>
        </is>
      </c>
      <c r="D13" s="19" t="inlineStr">
        <is>
          <t>Конкуренты</t>
        </is>
      </c>
      <c r="E13" s="11" t="inlineStr">
        <is>
          <t>Ж 53% / М 47%</t>
        </is>
      </c>
      <c r="F13" s="11" t="inlineStr">
        <is>
          <t>25–44 (67%), больше всего 25–34</t>
        </is>
      </c>
      <c r="G13" s="11" t="inlineStr">
        <is>
          <t>Москва и МО 12%, Казань 10%, Екатеринбург 8%</t>
        </is>
      </c>
      <c r="H13" s="11" t="inlineStr">
        <is>
          <t>Ваша же категория (паровая швабра = пароочиститель) — перехват покупателей конкурентов. Козырь — 7 функций в одном</t>
        </is>
      </c>
      <c r="I13" s="5" t="inlineStr">
        <is>
          <t>Пар вместо химии</t>
        </is>
      </c>
      <c r="J13" s="6">
        <f>LEN(I13)</f>
        <v/>
      </c>
      <c r="K13" s="11" t="inlineStr">
        <is>
          <t>Паровая швабра 7в1: пол, плитка, одежда</t>
        </is>
      </c>
      <c r="L13" s="6">
        <f>LEN(K13)</f>
        <v/>
      </c>
    </row>
    <row r="14" ht="52" customHeight="1">
      <c r="A14" s="5" t="inlineStr">
        <is>
          <t>Моющие пылесосы</t>
        </is>
      </c>
      <c r="B14" s="11" t="inlineStr">
        <is>
          <t>Ур. 2: Пылесосы
Ур. 3: Моющий пылесос</t>
        </is>
      </c>
      <c r="C14" s="11" t="inlineStr">
        <is>
          <t>Вертикальный моющий пылесос</t>
        </is>
      </c>
      <c r="D14" s="19" t="inlineStr">
        <is>
          <t>Конкуренты</t>
        </is>
      </c>
      <c r="E14" s="11" t="inlineStr">
        <is>
          <t>Ж 50% / М 50%</t>
        </is>
      </c>
      <c r="F14" s="11" t="inlineStr">
        <is>
          <t>25–34 (42%)</t>
        </is>
      </c>
      <c r="G14" s="11" t="inlineStr">
        <is>
          <t>Москва и МО 12%, Казань 11%, Екатеринбург 8%</t>
        </is>
      </c>
      <c r="H14" s="11" t="inlineStr">
        <is>
          <t>Ваша же категория — перехват у конкурентов. Молодые, чек выше рынка</t>
        </is>
      </c>
      <c r="I14" s="5" t="inlineStr">
        <is>
          <t>Чисто каждый день</t>
        </is>
      </c>
      <c r="J14" s="6">
        <f>LEN(I14)</f>
        <v/>
      </c>
      <c r="K14" s="11" t="inlineStr">
        <is>
          <t>Моющий вертикальный пылесос без проводов</t>
        </is>
      </c>
      <c r="L14" s="6">
        <f>LEN(K14)</f>
        <v/>
      </c>
    </row>
    <row r="15" ht="52" customHeight="1">
      <c r="A15" s="5" t="inlineStr">
        <is>
          <t>Роботы для мойки окон</t>
        </is>
      </c>
      <c r="B15" s="11" t="inlineStr">
        <is>
          <t>Ур. 3: Робот для мойки окон</t>
        </is>
      </c>
      <c r="C15" s="11" t="inlineStr">
        <is>
          <t>Вертикальный пылесос</t>
        </is>
      </c>
      <c r="D15" s="21" t="inlineStr">
        <is>
          <t>Размещение</t>
        </is>
      </c>
      <c r="E15" s="11" t="inlineStr">
        <is>
          <t>Ж 51% / М 49%</t>
        </is>
      </c>
      <c r="F15" s="11" t="inlineStr">
        <is>
          <t>25–44 (67%), больше всего 35–44</t>
        </is>
      </c>
      <c r="G15" s="11" t="inlineStr">
        <is>
          <t>Москва и МО 16%, Казань 10%, Центр 9%</t>
        </is>
      </c>
      <c r="H15" s="11" t="inlineStr">
        <is>
          <t>Автоматизируют уборку, платёжеспособные, ценят своё время</t>
        </is>
      </c>
      <c r="I15" s="5" t="inlineStr">
        <is>
          <t>Уборка без рутины</t>
        </is>
      </c>
      <c r="J15" s="6">
        <f>LEN(I15)</f>
        <v/>
      </c>
      <c r="K15" s="11" t="inlineStr">
        <is>
          <t>Пылесос, с которым уборка быстрее</t>
        </is>
      </c>
      <c r="L15" s="6">
        <f>LEN(K15)</f>
        <v/>
      </c>
    </row>
    <row r="16" ht="52" customHeight="1">
      <c r="A16" s="5" t="inlineStr">
        <is>
          <t>Моющие и чистящие средства</t>
        </is>
      </c>
      <c r="B16" s="11" t="inlineStr">
        <is>
          <t>Ур. 2: Моющие и чистящие средства
Ур. 3: Салфетки для уборки, Пятновыводитель</t>
        </is>
      </c>
      <c r="C16" s="11" t="inlineStr">
        <is>
          <t>Паровая швабра, КМП</t>
        </is>
      </c>
      <c r="D16" s="21" t="inlineStr">
        <is>
          <t>Размещение</t>
        </is>
      </c>
      <c r="E16" s="11" t="inlineStr">
        <is>
          <t>Ж 53% / М 47%</t>
        </is>
      </c>
      <c r="F16" s="11" t="inlineStr">
        <is>
          <t>25–44 (65%)</t>
        </is>
      </c>
      <c r="G16" s="11" t="inlineStr">
        <is>
          <t>Москва и МО 15%, Казань 10%, Екатеринбург 8%</t>
        </is>
      </c>
      <c r="H16" s="11" t="inlineStr">
        <is>
          <t>Огромная аудитория, уборка — постоянная забота. Козырь — чистота паром без химии. Экономные: только узкий таргет</t>
        </is>
      </c>
      <c r="I16" s="5" t="inlineStr">
        <is>
          <t>Чисто без химии</t>
        </is>
      </c>
      <c r="J16" s="6">
        <f>LEN(I16)</f>
        <v/>
      </c>
      <c r="K16" s="11" t="inlineStr">
        <is>
          <t>Паровая швабра: горячий пар вместо химии</t>
        </is>
      </c>
      <c r="L16" s="6">
        <f>LEN(K16)</f>
        <v/>
      </c>
    </row>
    <row r="17" ht="52" customHeight="1">
      <c r="A17" s="5" t="inlineStr">
        <is>
          <t>Ножи кухонные</t>
        </is>
      </c>
      <c r="B17" s="11" t="inlineStr">
        <is>
          <t>Ур. 2: Ножи кухонные</t>
        </is>
      </c>
      <c r="C17" s="11" t="inlineStr">
        <is>
          <t>Аэрогриль</t>
        </is>
      </c>
      <c r="D17" s="20" t="inlineStr">
        <is>
          <t>Аудитория</t>
        </is>
      </c>
      <c r="E17" s="11" t="inlineStr">
        <is>
          <t>М 62% / Ж 38%</t>
        </is>
      </c>
      <c r="F17" s="11" t="inlineStr">
        <is>
          <t>25–44 (63%), больше всего 35–44</t>
        </is>
      </c>
      <c r="G17" s="11" t="inlineStr">
        <is>
          <t>Москва и МО 14%, Казань 9%, Краснодар 8%</t>
        </is>
      </c>
      <c r="H17" s="11" t="inlineStr">
        <is>
          <t>Любят готовить, ценят хороший кухонный инструмент. Больше мужчин</t>
        </is>
      </c>
      <c r="I17" s="5" t="inlineStr">
        <is>
          <t>Готовить в радость</t>
        </is>
      </c>
      <c r="J17" s="6">
        <f>LEN(I17)</f>
        <v/>
      </c>
      <c r="K17" s="11" t="inlineStr">
        <is>
          <t>Аэрогриль для домашних ужинов</t>
        </is>
      </c>
      <c r="L17" s="6">
        <f>LEN(K17)</f>
        <v/>
      </c>
    </row>
    <row r="18" ht="52" customHeight="1">
      <c r="A18" s="5" t="inlineStr">
        <is>
          <t>Бумага для выпечки</t>
        </is>
      </c>
      <c r="B18" s="11" t="inlineStr">
        <is>
          <t>Ур. 3: Бумага пищевая</t>
        </is>
      </c>
      <c r="C18" s="11" t="inlineStr">
        <is>
          <t>Аэрогриль</t>
        </is>
      </c>
      <c r="D18" s="21" t="inlineStr">
        <is>
          <t>Размещение</t>
        </is>
      </c>
      <c r="E18" s="11" t="inlineStr">
        <is>
          <t>Ж 63% / М 37%</t>
        </is>
      </c>
      <c r="F18" s="11" t="inlineStr">
        <is>
          <t>25–54 (79%), больше всего 35–44</t>
        </is>
      </c>
      <c r="G18" s="11" t="inlineStr">
        <is>
          <t>Москва и МО 16%, Казань 10%, Екатеринбург 9%</t>
        </is>
      </c>
      <c r="H18" s="11" t="inlineStr">
        <is>
          <t>Уже запекают и пекут дома; бумагу часто берут именно для аэрогриля</t>
        </is>
      </c>
      <c r="I18" s="5" t="inlineStr">
        <is>
          <t>Ужин в аэрогриле</t>
        </is>
      </c>
      <c r="J18" s="6">
        <f>LEN(I18)</f>
        <v/>
      </c>
      <c r="K18" s="11" t="inlineStr">
        <is>
          <t>Хрустящая корочка почти без масла</t>
        </is>
      </c>
      <c r="L18" s="6">
        <f>LEN(K18)</f>
        <v/>
      </c>
    </row>
    <row r="19" ht="52" customHeight="1">
      <c r="A19" s="5" t="inlineStr">
        <is>
          <t>Формы для запекания</t>
        </is>
      </c>
      <c r="B19" s="11" t="inlineStr">
        <is>
          <t>Ур. 3: Форма для запекания, выпечки</t>
        </is>
      </c>
      <c r="C19" s="11" t="inlineStr">
        <is>
          <t>Аэрогриль</t>
        </is>
      </c>
      <c r="D19" s="21" t="inlineStr">
        <is>
          <t>Размещение</t>
        </is>
      </c>
      <c r="E19" s="11" t="inlineStr">
        <is>
          <t>Ж 64% / М 36%</t>
        </is>
      </c>
      <c r="F19" s="11" t="inlineStr">
        <is>
          <t>25–44 (62%)</t>
        </is>
      </c>
      <c r="G19" s="11" t="inlineStr">
        <is>
          <t>Москва и МО 15%, Казань 10%, Екатеринбург 8%</t>
        </is>
      </c>
      <c r="H19" s="11" t="inlineStr">
        <is>
          <t>Любят домашнюю выпечку и запеканки</t>
        </is>
      </c>
      <c r="I19" s="5" t="inlineStr">
        <is>
          <t>Выпечка дома</t>
        </is>
      </c>
      <c r="J19" s="6">
        <f>LEN(I19)</f>
        <v/>
      </c>
      <c r="K19" s="11" t="inlineStr">
        <is>
          <t>Выпечка в аэрогриле без духовки</t>
        </is>
      </c>
      <c r="L19" s="6">
        <f>LEN(K19)</f>
        <v/>
      </c>
    </row>
    <row r="20" ht="52" customHeight="1">
      <c r="A20" s="5" t="inlineStr">
        <is>
          <t>Пакеты для продуктов</t>
        </is>
      </c>
      <c r="B20" s="11" t="inlineStr">
        <is>
          <t>Ур. 3: Пакет для продуктов</t>
        </is>
      </c>
      <c r="C20" s="11" t="inlineStr">
        <is>
          <t>Аэрогриль</t>
        </is>
      </c>
      <c r="D20" s="21" t="inlineStr">
        <is>
          <t>Размещение</t>
        </is>
      </c>
      <c r="E20" s="11" t="inlineStr">
        <is>
          <t>Ж 66% / М 34%</t>
        </is>
      </c>
      <c r="F20" s="11" t="inlineStr">
        <is>
          <t>25–44 (64%), больше всего 35–44</t>
        </is>
      </c>
      <c r="G20" s="11" t="inlineStr">
        <is>
          <t>Москва и МО 15%, Казань 10%, Краснодар 9%</t>
        </is>
      </c>
      <c r="H20" s="11" t="inlineStr">
        <is>
          <t>Практичные хозяйки, считают деньги — низкий приоритет</t>
        </is>
      </c>
      <c r="I20" s="5" t="inlineStr">
        <is>
          <t>Ужин готовит сам</t>
        </is>
      </c>
      <c r="J20" s="6">
        <f>LEN(I20)</f>
        <v/>
      </c>
      <c r="K20" s="11" t="inlineStr">
        <is>
          <t>Аэрогриль: ужин готов, пока вы заняты</t>
        </is>
      </c>
      <c r="L20" s="6">
        <f>LEN(K20)</f>
        <v/>
      </c>
    </row>
    <row r="21" ht="52" customHeight="1">
      <c r="A21" s="5" t="inlineStr">
        <is>
          <t>Корма для кошек и собак</t>
        </is>
      </c>
      <c r="B21" s="11" t="inlineStr">
        <is>
          <t>Ур. 2: Корма и лакомства для кошек и собак
Ур. 3: Корм сухой</t>
        </is>
      </c>
      <c r="C21" s="11" t="inlineStr">
        <is>
          <t>Вертикальный пылесос, паровая швабра</t>
        </is>
      </c>
      <c r="D21" s="20" t="inlineStr">
        <is>
          <t>Аудитория</t>
        </is>
      </c>
      <c r="E21" s="11" t="inlineStr">
        <is>
          <t>Ж 56% / М 44%</t>
        </is>
      </c>
      <c r="F21" s="11" t="inlineStr">
        <is>
          <t>25–44 (63%)</t>
        </is>
      </c>
      <c r="G21" s="11" t="inlineStr">
        <is>
          <t>Москва и МО 19%, Казань 9%, СПб 9%</t>
        </is>
      </c>
      <c r="H21" s="11" t="inlineStr">
        <is>
          <t>Шерсть на полу, диване и одежде — постоянная боль владельцев питомцев. Отдельной категории «Корма для собак» в конструкторе нет — берите эту</t>
        </is>
      </c>
      <c r="I21" s="5" t="inlineStr">
        <is>
          <t>Прощай, шерсть</t>
        </is>
      </c>
      <c r="J21" s="6">
        <f>LEN(I21)</f>
        <v/>
      </c>
      <c r="K21" s="11" t="inlineStr">
        <is>
          <t>Пылесос для дома, где живут питомцы</t>
        </is>
      </c>
      <c r="L21" s="6">
        <f>LEN(K21)</f>
        <v/>
      </c>
    </row>
    <row r="22" ht="52" customHeight="1">
      <c r="A22" s="5" t="inlineStr">
        <is>
          <t>Игрушки</t>
        </is>
      </c>
      <c r="B22" s="11" t="inlineStr">
        <is>
          <t>Ур. 2: Игрушки</t>
        </is>
      </c>
      <c r="C22" s="11" t="inlineStr">
        <is>
          <t>Вся техника (подарок)</t>
        </is>
      </c>
      <c r="D22" s="20" t="inlineStr">
        <is>
          <t>Аудитория</t>
        </is>
      </c>
      <c r="E22" s="11" t="inlineStr">
        <is>
          <t>М 60% / Ж 40%</t>
        </is>
      </c>
      <c r="F22" s="11" t="inlineStr">
        <is>
          <t>18–44 (83%)</t>
        </is>
      </c>
      <c r="G22" s="11" t="inlineStr">
        <is>
          <t>Москва и МО 12%, Казань 7%, Краснодар 6%</t>
        </is>
      </c>
      <c r="H22" s="11" t="inlineStr">
        <is>
          <t>Родители, покупают подарки к праздникам. Работает перед Новым годом и 8 Марта</t>
        </is>
      </c>
      <c r="I22" s="5" t="inlineStr">
        <is>
          <t>Подарок для дома</t>
        </is>
      </c>
      <c r="J22" s="6">
        <f>LEN(I22)</f>
        <v/>
      </c>
      <c r="K22" s="11" t="inlineStr">
        <is>
          <t>Полезная техника в подарок всей семье</t>
        </is>
      </c>
      <c r="L22" s="6">
        <f>LEN(K22)</f>
        <v/>
      </c>
    </row>
    <row r="23" ht="52" customHeight="1">
      <c r="A23" s="5" t="inlineStr">
        <is>
          <t>БАДы и витамины</t>
        </is>
      </c>
      <c r="B23" s="11" t="inlineStr">
        <is>
          <t>Ур. 2: БАДы и витамины
Ур. 3: Пищевая добавка</t>
        </is>
      </c>
      <c r="C23" s="11" t="inlineStr">
        <is>
          <t>Виброплатформа</t>
        </is>
      </c>
      <c r="D23" s="21" t="inlineStr">
        <is>
          <t>Размещение</t>
        </is>
      </c>
      <c r="E23" s="11" t="inlineStr">
        <is>
          <t>Ж 53% / М 47%</t>
        </is>
      </c>
      <c r="F23" s="11" t="inlineStr">
        <is>
          <t>25–44 (65%)</t>
        </is>
      </c>
      <c r="G23" s="11" t="inlineStr">
        <is>
          <t>Москва и МО 16%, Казань 9%, Краснодар 8%</t>
        </is>
      </c>
      <c r="H23" s="11" t="inlineStr">
        <is>
          <t>Следят за здоровьем, ЗОЖ. Нет времени на зал</t>
        </is>
      </c>
      <c r="I23" s="5" t="inlineStr">
        <is>
          <t>Здоровье дома</t>
        </is>
      </c>
      <c r="J23" s="6">
        <f>LEN(I23)</f>
        <v/>
      </c>
      <c r="K23" s="11" t="inlineStr">
        <is>
          <t>Виброплатформа для активности без зала</t>
        </is>
      </c>
      <c r="L23" s="6">
        <f>LEN(K23)</f>
        <v/>
      </c>
    </row>
    <row r="24" ht="52" customHeight="1">
      <c r="A24" s="5" t="inlineStr">
        <is>
          <t>Снеки, суперфуды</t>
        </is>
      </c>
      <c r="B24" s="11" t="inlineStr">
        <is>
          <t>Ур. 2: Сухие завтраки, снэки, суперфудс</t>
        </is>
      </c>
      <c r="C24" s="11" t="inlineStr">
        <is>
          <t>Виброплатформа</t>
        </is>
      </c>
      <c r="D24" s="21" t="inlineStr">
        <is>
          <t>Размещение</t>
        </is>
      </c>
      <c r="E24" s="11" t="inlineStr">
        <is>
          <t>М 52% / Ж 48%</t>
        </is>
      </c>
      <c r="F24" s="11" t="inlineStr">
        <is>
          <t>25–44 (63%)</t>
        </is>
      </c>
      <c r="G24" s="11" t="inlineStr">
        <is>
          <t>Москва и МО 20%, Казань 10%, Краснодар 8%</t>
        </is>
      </c>
      <c r="H24" s="11" t="inlineStr">
        <is>
          <t>ЗОЖ-питание, много Москвы — как у ваших покупателей тренажёров</t>
        </is>
      </c>
      <c r="I24" s="5" t="inlineStr">
        <is>
          <t>Форма без зала</t>
        </is>
      </c>
      <c r="J24" s="6">
        <f>LEN(I24)</f>
        <v/>
      </c>
      <c r="K24" s="11" t="inlineStr">
        <is>
          <t>Тренировки дома в удобное время</t>
        </is>
      </c>
      <c r="L24" s="6">
        <f>LEN(K24)</f>
        <v/>
      </c>
    </row>
    <row r="25" ht="52" customHeight="1">
      <c r="A25" s="5" t="inlineStr">
        <is>
          <t>Массажёры электрические</t>
        </is>
      </c>
      <c r="B25" s="11" t="inlineStr">
        <is>
          <t>Ур. 3: Массажер электрический</t>
        </is>
      </c>
      <c r="C25" s="11" t="inlineStr">
        <is>
          <t>Виброплатформа</t>
        </is>
      </c>
      <c r="D25" s="21" t="inlineStr">
        <is>
          <t>Размещение</t>
        </is>
      </c>
      <c r="E25" s="11" t="inlineStr">
        <is>
          <t>Ж 53% / М 47%</t>
        </is>
      </c>
      <c r="F25" s="11" t="inlineStr">
        <is>
          <t>25–44 (66%)</t>
        </is>
      </c>
      <c r="G25" s="11" t="inlineStr">
        <is>
          <t>Москва и МО 13%, Казань 10%, Екатеринбург 9%</t>
        </is>
      </c>
      <c r="H25" s="11" t="inlineStr">
        <is>
          <t>Заботятся о теле, ищут расслабление и восстановление</t>
        </is>
      </c>
      <c r="I25" s="5" t="inlineStr">
        <is>
          <t>Тонус каждый день</t>
        </is>
      </c>
      <c r="J25" s="6">
        <f>LEN(I25)</f>
        <v/>
      </c>
      <c r="K25" s="11" t="inlineStr">
        <is>
          <t>Виброплатформа для тонуса и расслабления</t>
        </is>
      </c>
      <c r="L25" s="6">
        <f>LEN(K25)</f>
        <v/>
      </c>
    </row>
    <row r="26" ht="52" customHeight="1">
      <c r="A26" s="5" t="inlineStr">
        <is>
          <t>Легинсы</t>
        </is>
      </c>
      <c r="B26" s="11" t="inlineStr">
        <is>
          <t>Ур. 3: Легинсы</t>
        </is>
      </c>
      <c r="C26" s="11" t="inlineStr">
        <is>
          <t>Виброплатформа</t>
        </is>
      </c>
      <c r="D26" s="21" t="inlineStr">
        <is>
          <t>Размещение</t>
        </is>
      </c>
      <c r="E26" s="11" t="inlineStr">
        <is>
          <t>Ж 72% / М 28%</t>
        </is>
      </c>
      <c r="F26" s="11" t="inlineStr">
        <is>
          <t>25–34 (40%)</t>
        </is>
      </c>
      <c r="G26" s="11" t="inlineStr">
        <is>
          <t>Москва и МО 12%, Казань 10%, Екатеринбург 9%</t>
        </is>
      </c>
      <c r="H26" s="11" t="inlineStr">
        <is>
          <t>Тренируются и хотят результат без похода в зал</t>
        </is>
      </c>
      <c r="I26" s="5" t="inlineStr">
        <is>
          <t>Фитнес дома</t>
        </is>
      </c>
      <c r="J26" s="6">
        <f>LEN(I26)</f>
        <v/>
      </c>
      <c r="K26" s="11" t="inlineStr">
        <is>
          <t>Тренировка дома, когда удобно вам</t>
        </is>
      </c>
      <c r="L26" s="6">
        <f>LEN(K26)</f>
        <v/>
      </c>
    </row>
    <row r="27" ht="52" customHeight="1">
      <c r="A27" s="5" t="inlineStr">
        <is>
          <t>Косметика (уход, волосы)</t>
        </is>
      </c>
      <c r="B27" s="11" t="inlineStr">
        <is>
          <t>Ур. 2: Косметика для ухода, Косметика для ухода за волосами</t>
        </is>
      </c>
      <c r="C27" s="11" t="inlineStr">
        <is>
          <t>Виброплатформа</t>
        </is>
      </c>
      <c r="D27" s="20" t="inlineStr">
        <is>
          <t>Аудитория</t>
        </is>
      </c>
      <c r="E27" s="11" t="inlineStr">
        <is>
          <t>Ж 61% / М 39%</t>
        </is>
      </c>
      <c r="F27" s="11" t="inlineStr">
        <is>
          <t>25–44 (63%)</t>
        </is>
      </c>
      <c r="G27" s="11" t="inlineStr">
        <is>
          <t>Москва и МО 15%, Казань 10%, Екатеринбург 8%</t>
        </is>
      </c>
      <c r="H27" s="11" t="inlineStr">
        <is>
          <t>Огромная женская аудитория «забота о себе». Экономные — только узкий таргет</t>
        </is>
      </c>
      <c r="I27" s="5" t="inlineStr">
        <is>
          <t>Время для себя</t>
        </is>
      </c>
      <c r="J27" s="6">
        <f>LEN(I27)</f>
        <v/>
      </c>
      <c r="K27" s="11" t="inlineStr">
        <is>
          <t>Виброплатформа для тонуса тела дома</t>
        </is>
      </c>
      <c r="L27" s="6">
        <f>LEN(K27)</f>
        <v/>
      </c>
    </row>
    <row r="28" ht="52" customHeight="1">
      <c r="A28" s="5" t="inlineStr">
        <is>
          <t>Мебель для кухни</t>
        </is>
      </c>
      <c r="B28" s="11" t="inlineStr">
        <is>
          <t>Ур. 2: Мебель для кухни</t>
        </is>
      </c>
      <c r="C28" s="11" t="inlineStr">
        <is>
          <t>Паровая швабра 7в1</t>
        </is>
      </c>
      <c r="D28" s="20" t="inlineStr">
        <is>
          <t>Аудитория</t>
        </is>
      </c>
      <c r="E28" s="11" t="inlineStr">
        <is>
          <t>Ж 51% / М 49%</t>
        </is>
      </c>
      <c r="F28" s="11" t="inlineStr">
        <is>
          <t>25–44 (68%)</t>
        </is>
      </c>
      <c r="G28" s="11" t="inlineStr">
        <is>
          <t>Москва и МО 15%, Казань 10%, Екатеринбург 9%</t>
        </is>
      </c>
      <c r="H28" s="11" t="inlineStr">
        <is>
          <t>Обновили кухню — хотят сохранить её как новую: жир на плите, плитка, пол. Чек выше среднего (3–10 тыс. у 21%)</t>
        </is>
      </c>
      <c r="I28" s="5" t="inlineStr">
        <is>
          <t>Кухня как новая</t>
        </is>
      </c>
      <c r="J28" s="6">
        <f>LEN(I28)</f>
        <v/>
      </c>
      <c r="K28" s="11" t="inlineStr">
        <is>
          <t>Пар для плиты, плитки и пола</t>
        </is>
      </c>
      <c r="L28" s="6">
        <f>LEN(K28)</f>
        <v/>
      </c>
    </row>
    <row r="29" ht="52" customHeight="1">
      <c r="A29" s="5" t="inlineStr">
        <is>
          <t>Подгузники и гигиена</t>
        </is>
      </c>
      <c r="B29" s="11" t="inlineStr">
        <is>
          <t>Ур. 2: Подгузники и гигиена</t>
        </is>
      </c>
      <c r="C29" s="11" t="inlineStr">
        <is>
          <t>Паровая швабра 7в1</t>
        </is>
      </c>
      <c r="D29" s="20" t="inlineStr">
        <is>
          <t>Аудитория</t>
        </is>
      </c>
      <c r="E29" s="11" t="inlineStr">
        <is>
          <t>Ж 61% / М 39%</t>
        </is>
      </c>
      <c r="F29" s="11" t="inlineStr">
        <is>
          <t>25–34 (50%) — молодые родители</t>
        </is>
      </c>
      <c r="G29" s="11" t="inlineStr">
        <is>
          <t>Москва и МО 17%, Казань 11%, Краснодар 9%</t>
        </is>
      </c>
      <c r="H29" s="11" t="inlineStr">
        <is>
          <t>Малыш ползает по полу — нужна чистота без химии. Самая молодая аудитория</t>
        </is>
      </c>
      <c r="I29" s="5" t="inlineStr">
        <is>
          <t>Чистый пол малышу</t>
        </is>
      </c>
      <c r="J29" s="6">
        <f>LEN(I29)</f>
        <v/>
      </c>
      <c r="K29" s="11" t="inlineStr">
        <is>
          <t>Пар вместо химии там, где ползает малыш</t>
        </is>
      </c>
      <c r="L29" s="6">
        <f>LEN(K29)</f>
        <v/>
      </c>
    </row>
    <row r="30" ht="52" customHeight="1">
      <c r="A30" s="5" t="inlineStr">
        <is>
          <t>Диваны и кресла</t>
        </is>
      </c>
      <c r="B30" s="11" t="inlineStr">
        <is>
          <t>Ур. 2: Диваны и кресла</t>
        </is>
      </c>
      <c r="C30" s="11" t="inlineStr">
        <is>
          <t>Компактный моющий пылесос</t>
        </is>
      </c>
      <c r="D30" s="20" t="inlineStr">
        <is>
          <t>Аудитория</t>
        </is>
      </c>
      <c r="E30" s="11" t="inlineStr">
        <is>
          <t>Ж 52% / М 48%</t>
        </is>
      </c>
      <c r="F30" s="11" t="inlineStr">
        <is>
          <t>25–44 (70%)</t>
        </is>
      </c>
      <c r="G30" s="11" t="inlineStr">
        <is>
          <t>Москва и МО 18%, Казань 10%, Екатеринбург 9%</t>
        </is>
      </c>
      <c r="H30" s="11" t="inlineStr">
        <is>
          <t>Купили новую мебель — боятся пятен. Платёжеспособные (чек 3–10 тыс. у 26%), много Москвы</t>
        </is>
      </c>
      <c r="I30" s="5" t="inlineStr">
        <is>
          <t>Диван без пятен</t>
        </is>
      </c>
      <c r="J30" s="6">
        <f>LEN(I30)</f>
        <v/>
      </c>
      <c r="K30" s="11" t="inlineStr">
        <is>
          <t>Моющий пылесос для обивки — как химчистка</t>
        </is>
      </c>
      <c r="L30" s="6">
        <f>LEN(K30)</f>
        <v/>
      </c>
    </row>
    <row r="31" ht="52" customHeight="1">
      <c r="A31" s="5" t="inlineStr">
        <is>
          <t>Держатели и запчасти для швабр</t>
        </is>
      </c>
      <c r="B31" s="11" t="inlineStr">
        <is>
          <t>Ур. 3: Держатель для швабры, Запчасть для швабры</t>
        </is>
      </c>
      <c r="C31" s="11" t="inlineStr">
        <is>
          <t>Паровая швабра 7в1</t>
        </is>
      </c>
      <c r="D31" s="21" t="inlineStr">
        <is>
          <t>Размещение</t>
        </is>
      </c>
      <c r="E31" s="11" t="inlineStr">
        <is>
          <t>Ж 52% / М 48%</t>
        </is>
      </c>
      <c r="F31" s="11" t="inlineStr">
        <is>
          <t>35–54 (57%) — старше</t>
        </is>
      </c>
      <c r="G31" s="11" t="inlineStr">
        <is>
          <t>Москва и МО 18%, Казань 10%, СПб 9%</t>
        </is>
      </c>
      <c r="H31" s="11" t="inlineStr">
        <is>
          <t>Уже моют пол обычной шваброй — устали от тряпок и вёдер. Взрослая аудитория</t>
        </is>
      </c>
      <c r="I31" s="5" t="inlineStr">
        <is>
          <t>Без вёдер и тряпок</t>
        </is>
      </c>
      <c r="J31" s="6">
        <f>LEN(I31)</f>
        <v/>
      </c>
      <c r="K31" s="11" t="inlineStr">
        <is>
          <t>Паровая швабра моет пол горячим паром</t>
        </is>
      </c>
      <c r="L31" s="6">
        <f>LEN(K31)</f>
        <v/>
      </c>
    </row>
    <row r="32" ht="52" customHeight="1">
      <c r="A32" s="5" t="inlineStr">
        <is>
          <t>Садовый декор и теплицы</t>
        </is>
      </c>
      <c r="B32" s="11" t="inlineStr">
        <is>
          <t>Ур. 2: Садовый декор и теплицы</t>
        </is>
      </c>
      <c r="C32" s="11" t="inlineStr">
        <is>
          <t>Аэрогриль</t>
        </is>
      </c>
      <c r="D32" s="20" t="inlineStr">
        <is>
          <t>Аудитория</t>
        </is>
      </c>
      <c r="E32" s="11" t="inlineStr">
        <is>
          <t>М 67% / Ж 33% (данные нетипичны)</t>
        </is>
      </c>
      <c r="F32" s="11" t="inlineStr">
        <is>
          <t>18–44 (84%)</t>
        </is>
      </c>
      <c r="G32" s="11" t="inlineStr">
        <is>
          <t>Москва и МО 25%, Казань 13%, Екатеринбург 11%</t>
        </is>
      </c>
      <c r="H32" s="11" t="inlineStr">
        <is>
          <t>Дачники: на даче нет духовки. Внимание: пол определён у 100% — данные Ozon нетипичны, пол лучше не фильтровать</t>
        </is>
      </c>
      <c r="I32" s="5" t="inlineStr">
        <is>
          <t>Готовим на даче</t>
        </is>
      </c>
      <c r="J32" s="6">
        <f>LEN(I32)</f>
        <v/>
      </c>
      <c r="K32" s="11" t="inlineStr">
        <is>
          <t>Аэрогриль вместо духовки и плиты на даче</t>
        </is>
      </c>
      <c r="L32" s="6">
        <f>LEN(K32)</f>
        <v/>
      </c>
    </row>
    <row r="33" ht="52" customHeight="1">
      <c r="A33" s="5" t="inlineStr">
        <is>
          <t>Детские товары</t>
        </is>
      </c>
      <c r="B33" s="11" t="inlineStr">
        <is>
          <t>Ур. 1: Детские товары</t>
        </is>
      </c>
      <c r="C33" s="11" t="inlineStr">
        <is>
          <t>Аэрогриль</t>
        </is>
      </c>
      <c r="D33" s="20" t="inlineStr">
        <is>
          <t>Аудитория</t>
        </is>
      </c>
      <c r="E33" s="11" t="inlineStr">
        <is>
          <t>Ж 52% / М 48%</t>
        </is>
      </c>
      <c r="F33" s="11" t="inlineStr">
        <is>
          <t>25–34 (39%)</t>
        </is>
      </c>
      <c r="G33" s="11" t="inlineStr">
        <is>
          <t>Москва и МО 15%, Казань 10%, Екатеринбург 8%</t>
        </is>
      </c>
      <c r="H33" s="11" t="inlineStr">
        <is>
          <t>Родители: что приготовить ребёнку быстро и полезно. Огромная аудитория (24,5 млн) — сужать: Ж 25–44</t>
        </is>
      </c>
      <c r="I33" s="5" t="inlineStr">
        <is>
          <t>Ужин для детей</t>
        </is>
      </c>
      <c r="J33" s="6">
        <f>LEN(I33)</f>
        <v/>
      </c>
      <c r="K33" s="11" t="inlineStr">
        <is>
          <t>Наггетсы и картошка почти без масла</t>
        </is>
      </c>
      <c r="L33" s="6">
        <f>LEN(K33)</f>
        <v/>
      </c>
    </row>
    <row r="34" ht="52" customHeight="1">
      <c r="A34" s="5" t="inlineStr">
        <is>
          <t>Фитнес и йога</t>
        </is>
      </c>
      <c r="B34" s="11" t="inlineStr">
        <is>
          <t>Ур. 2: Фитнес и йога</t>
        </is>
      </c>
      <c r="C34" s="11" t="inlineStr">
        <is>
          <t>Аэрогриль, виброплатформа</t>
        </is>
      </c>
      <c r="D34" s="20" t="inlineStr">
        <is>
          <t>Аудитория</t>
        </is>
      </c>
      <c r="E34" s="11" t="inlineStr">
        <is>
          <t>М 71% / Ж 29% (данные нетипичны)</t>
        </is>
      </c>
      <c r="F34" s="11" t="inlineStr">
        <is>
          <t>25–34 (36%)</t>
        </is>
      </c>
      <c r="G34" s="11" t="inlineStr">
        <is>
          <t>Москва и МО 33%, Казань 17%, Екатеринбург 15%</t>
        </is>
      </c>
      <c r="H34" s="11" t="inlineStr">
        <is>
          <t>ЗОЖ: правильное питание и тонус. Пол определён у 100% — данные нетипичны, пол лучше не фильтровать</t>
        </is>
      </c>
      <c r="I34" s="5" t="inlineStr">
        <is>
          <t>ПП без скуки</t>
        </is>
      </c>
      <c r="J34" s="6">
        <f>LEN(I34)</f>
        <v/>
      </c>
      <c r="K34" s="11" t="inlineStr">
        <is>
          <t>Аэрогриль: сочное мясо почти без масла</t>
        </is>
      </c>
      <c r="L34" s="6">
        <f>LEN(K34)</f>
        <v/>
      </c>
    </row>
    <row r="35" ht="52" customHeight="1">
      <c r="A35" s="5" t="inlineStr">
        <is>
          <t>Аксессуары для приготовления пищи</t>
        </is>
      </c>
      <c r="B35" s="11" t="inlineStr">
        <is>
          <t>Ур. 2: Аксессуары для приготовления пищи</t>
        </is>
      </c>
      <c r="C35" s="11" t="inlineStr">
        <is>
          <t>Аэрогриль</t>
        </is>
      </c>
      <c r="D35" s="21" t="inlineStr">
        <is>
          <t>Размещение</t>
        </is>
      </c>
      <c r="E35" s="11" t="inlineStr">
        <is>
          <t>М 60% / Ж 40%</t>
        </is>
      </c>
      <c r="F35" s="11" t="inlineStr">
        <is>
          <t>18–44 (82%)</t>
        </is>
      </c>
      <c r="G35" s="11" t="inlineStr">
        <is>
          <t>Москва и МО 11%, Казань 6%, Екатеринбург 5%</t>
        </is>
      </c>
      <c r="H35" s="11" t="inlineStr">
        <is>
          <t>Любят готовить, ищут новые идеи. Огромная (24,6 млн) и экономная — только узкий таргет</t>
        </is>
      </c>
      <c r="I35" s="5" t="inlineStr">
        <is>
          <t>Идеи для ужина</t>
        </is>
      </c>
      <c r="J35" s="6">
        <f>LEN(I35)</f>
        <v/>
      </c>
      <c r="K35" s="11" t="inlineStr">
        <is>
          <t>Один аэрогриль вместо духовки и фритюрницы</t>
        </is>
      </c>
      <c r="L35" s="6">
        <f>LEN(K35)</f>
        <v/>
      </c>
    </row>
    <row r="36" ht="52" customHeight="1">
      <c r="A36" s="5" t="inlineStr">
        <is>
          <t>Спортивное питание</t>
        </is>
      </c>
      <c r="B36" s="11" t="inlineStr">
        <is>
          <t>Ур. 2: Спортивное питание</t>
        </is>
      </c>
      <c r="C36" s="11" t="inlineStr">
        <is>
          <t>Виброплатформа</t>
        </is>
      </c>
      <c r="D36" s="20" t="inlineStr">
        <is>
          <t>Аудитория</t>
        </is>
      </c>
      <c r="E36" s="11" t="inlineStr">
        <is>
          <t>М 69% / Ж 31% (данные нетипичны)</t>
        </is>
      </c>
      <c r="F36" s="11" t="inlineStr">
        <is>
          <t>25–34 (38%)</t>
        </is>
      </c>
      <c r="G36" s="11" t="inlineStr">
        <is>
          <t>Москва и МО 23%, Казань 11%, Екатеринбург 9%</t>
        </is>
      </c>
      <c r="H36" s="11" t="inlineStr">
        <is>
          <t>Следят за формой, тренируются. Пол определён у 100% — данные нетипичны; для виброплатформы сужать на Ж 25–44</t>
        </is>
      </c>
      <c r="I36" s="5" t="inlineStr">
        <is>
          <t>Плюс к тренировкам</t>
        </is>
      </c>
      <c r="J36" s="6">
        <f>LEN(I36)</f>
        <v/>
      </c>
      <c r="K36" s="11" t="inlineStr">
        <is>
          <t>Виброплатформа: тонус мышц дома</t>
        </is>
      </c>
      <c r="L36" s="6">
        <f>LEN(K36)</f>
        <v/>
      </c>
    </row>
    <row r="37" ht="52" customHeight="1">
      <c r="A37" s="5" t="inlineStr">
        <is>
          <t>Средство антицеллюлитное</t>
        </is>
      </c>
      <c r="B37" s="11" t="inlineStr">
        <is>
          <t>Ур. 3: Средство антицеллюлитное</t>
        </is>
      </c>
      <c r="C37" s="11" t="inlineStr">
        <is>
          <t>Виброплатформа</t>
        </is>
      </c>
      <c r="D37" s="20" t="inlineStr">
        <is>
          <t>Аудитория</t>
        </is>
      </c>
      <c r="E37" s="11" t="inlineStr">
        <is>
          <t>Ж 71% / М 29%</t>
        </is>
      </c>
      <c r="F37" s="11" t="inlineStr">
        <is>
          <t>25–44 (67%)</t>
        </is>
      </c>
      <c r="G37" s="11" t="inlineStr">
        <is>
          <t>Москва и МО 13%, Казань 9%, Екатеринбург 8%</t>
        </is>
      </c>
      <c r="H37" s="11" t="inlineStr">
        <is>
          <t>Работают над телом «снаружи» — предложить домашнюю тренировку. Без медицинских обещаний</t>
        </is>
      </c>
      <c r="I37" s="5" t="inlineStr">
        <is>
          <t>Тело в тонусе</t>
        </is>
      </c>
      <c r="J37" s="6">
        <f>LEN(I37)</f>
        <v/>
      </c>
      <c r="K37" s="11" t="inlineStr">
        <is>
          <t>Виброплатформа для тонуса и упругости</t>
        </is>
      </c>
      <c r="L37" s="6">
        <f>LEN(K37)</f>
        <v/>
      </c>
    </row>
    <row r="38" ht="52" customHeight="1">
      <c r="A38" s="5" t="inlineStr">
        <is>
          <t>Напольные весы</t>
        </is>
      </c>
      <c r="B38" s="11" t="inlineStr">
        <is>
          <t>Ур. 3: Напольные весы</t>
        </is>
      </c>
      <c r="C38" s="11" t="inlineStr">
        <is>
          <t>Виброплатформа</t>
        </is>
      </c>
      <c r="D38" s="20" t="inlineStr">
        <is>
          <t>Аудитория</t>
        </is>
      </c>
      <c r="E38" s="11" t="inlineStr">
        <is>
          <t>М 54% / Ж 46%</t>
        </is>
      </c>
      <c r="F38" s="11" t="inlineStr">
        <is>
          <t>18–34 (56%)</t>
        </is>
      </c>
      <c r="G38" s="11" t="inlineStr">
        <is>
          <t>Москва и МО 15%, Казань 10%, Екатеринбург 8%</t>
        </is>
      </c>
      <c r="H38" s="11" t="inlineStr">
        <is>
          <t>Следят за весом и хотят двигаться больше, но без зала</t>
        </is>
      </c>
      <c r="I38" s="5" t="inlineStr">
        <is>
          <t>Минус на весах</t>
        </is>
      </c>
      <c r="J38" s="6">
        <f>LEN(I38)</f>
        <v/>
      </c>
      <c r="K38" s="11" t="inlineStr">
        <is>
          <t>Домашняя тренировка без похода в зал</t>
        </is>
      </c>
      <c r="L38" s="6">
        <f>LEN(K38)</f>
        <v/>
      </c>
    </row>
    <row r="39" ht="52" customHeight="1">
      <c r="A39" s="5" t="inlineStr">
        <is>
          <t>Фитнес-резинки</t>
        </is>
      </c>
      <c r="B39" s="11" t="inlineStr">
        <is>
          <t>Ур. 3: Фитнес-резинка</t>
        </is>
      </c>
      <c r="C39" s="11" t="inlineStr">
        <is>
          <t>Виброплатформа</t>
        </is>
      </c>
      <c r="D39" s="20" t="inlineStr">
        <is>
          <t>Аудитория</t>
        </is>
      </c>
      <c r="E39" s="11" t="inlineStr">
        <is>
          <t>М 51% / Ж 49%</t>
        </is>
      </c>
      <c r="F39" s="11" t="inlineStr">
        <is>
          <t>25–44 (68%)</t>
        </is>
      </c>
      <c r="G39" s="11" t="inlineStr">
        <is>
          <t>Москва и МО 16%, Казань 10%, Екатеринбург 9%</t>
        </is>
      </c>
      <c r="H39" s="11" t="inlineStr">
        <is>
          <t>Уже тренируются дома — дополнить домашний фитнес-комплект</t>
        </is>
      </c>
      <c r="I39" s="5" t="inlineStr">
        <is>
          <t>Домашний фитнес</t>
        </is>
      </c>
      <c r="J39" s="6">
        <f>LEN(I39)</f>
        <v/>
      </c>
      <c r="K39" s="11" t="inlineStr">
        <is>
          <t>Резинки + виброплатформа — весь комплект</t>
        </is>
      </c>
      <c r="L39" s="6">
        <f>LEN(K39)</f>
        <v/>
      </c>
    </row>
    <row r="40" ht="52" customHeight="1">
      <c r="A40" s="5" t="inlineStr">
        <is>
          <t>Пояса и костюмы-сауны для похудения</t>
        </is>
      </c>
      <c r="B40" s="11" t="inlineStr">
        <is>
          <t>Ур. 3: Пояс для похудения, Костюм-сауна для похудения, Система для термопохудения</t>
        </is>
      </c>
      <c r="C40" s="11" t="inlineStr">
        <is>
          <t>Виброплатформа</t>
        </is>
      </c>
      <c r="D40" s="20" t="inlineStr">
        <is>
          <t>Аудитория</t>
        </is>
      </c>
      <c r="E40" s="11" t="inlineStr">
        <is>
          <t>Ж 54% / М 46%</t>
        </is>
      </c>
      <c r="F40" s="11" t="inlineStr">
        <is>
          <t>25–44 (68%), больше всего 35–44</t>
        </is>
      </c>
      <c r="G40" s="11" t="inlineStr">
        <is>
          <t>Москва и МО 11%, Казань 8%, Екатеринбург 8%</t>
        </is>
      </c>
      <c r="H40" s="11" t="inlineStr">
        <is>
          <t>Хотят изменить фигуру дома, без зала. Экономные. Без обещаний похудения — только про тренировки и тонус</t>
        </is>
      </c>
      <c r="I40" s="5" t="inlineStr">
        <is>
          <t>Ближе к цели</t>
        </is>
      </c>
      <c r="J40" s="6">
        <f>LEN(I40)</f>
        <v/>
      </c>
      <c r="K40" s="11" t="inlineStr">
        <is>
          <t>Виброплатформа для тренировок дома</t>
        </is>
      </c>
      <c r="L40" s="6">
        <f>LEN(K40)</f>
        <v/>
      </c>
    </row>
    <row r="41" ht="52" customHeight="1">
      <c r="A41" s="5" t="inlineStr">
        <is>
          <t>Велотренажёры и беговые дорожки</t>
        </is>
      </c>
      <c r="B41" s="11" t="inlineStr">
        <is>
          <t>Ур. 3: Велотренажер, Беговая дорожка</t>
        </is>
      </c>
      <c r="C41" s="11" t="inlineStr">
        <is>
          <t>Виброплатформа</t>
        </is>
      </c>
      <c r="D41" s="20" t="inlineStr">
        <is>
          <t>Аудитория</t>
        </is>
      </c>
      <c r="E41" s="11" t="inlineStr">
        <is>
          <t>М 56% / Ж 44%</t>
        </is>
      </c>
      <c r="F41" s="11" t="inlineStr">
        <is>
          <t>25–34 (40%)</t>
        </is>
      </c>
      <c r="G41" s="11" t="inlineStr">
        <is>
          <t>Москва и МО 15%, Казань 11%, Екатеринбург 10%</t>
        </is>
      </c>
      <c r="H41" s="11" t="inlineStr">
        <is>
          <t>Уже тренируются дома и платёжеспособные (чек 3–10 тыс. у 25%)</t>
        </is>
      </c>
      <c r="I41" s="5" t="inlineStr">
        <is>
          <t>Дополни тренажёр</t>
        </is>
      </c>
      <c r="J41" s="6">
        <f>LEN(I41)</f>
        <v/>
      </c>
      <c r="K41" s="11" t="inlineStr">
        <is>
          <t>Виброплатформа: разминка и восстановление</t>
        </is>
      </c>
      <c r="L41" s="6">
        <f>LEN(K41)</f>
        <v/>
      </c>
    </row>
    <row r="42" ht="52" customHeight="1">
      <c r="A42" s="5" t="inlineStr">
        <is>
          <t>Холодильники</t>
        </is>
      </c>
      <c r="B42" s="11" t="inlineStr">
        <is>
          <t>Ур. 2: Холодильники</t>
        </is>
      </c>
      <c r="C42" s="11" t="inlineStr">
        <is>
          <t>Вертикальный пылесос, кофемашина</t>
        </is>
      </c>
      <c r="D42" s="20" t="inlineStr">
        <is>
          <t>Аудитория</t>
        </is>
      </c>
      <c r="E42" s="11" t="inlineStr">
        <is>
          <t>М 57% / Ж 43%</t>
        </is>
      </c>
      <c r="F42" s="11" t="inlineStr">
        <is>
          <t>25–44 (70%)</t>
        </is>
      </c>
      <c r="G42" s="11" t="inlineStr">
        <is>
          <t>Москва и МО 19%, Казань 11%, Екатеринбург 9%</t>
        </is>
      </c>
      <c r="H42" s="11" t="inlineStr">
        <is>
          <t>Обновляют технику дома — самая платёжеспособная аудитория (чек 3–10 тыс. у 32%, 10 тыс.+ у 6%)</t>
        </is>
      </c>
      <c r="I42" s="5" t="inlineStr">
        <is>
          <t>Обновите технику</t>
        </is>
      </c>
      <c r="J42" s="6">
        <f>LEN(I42)</f>
        <v/>
      </c>
      <c r="K42" s="11" t="inlineStr">
        <is>
          <t>Вертикальный пылесос для обновлённого дома</t>
        </is>
      </c>
      <c r="L42" s="6">
        <f>LEN(K42)</f>
        <v/>
      </c>
    </row>
    <row r="43" ht="52" customHeight="1">
      <c r="A43" s="5" t="inlineStr">
        <is>
          <t>Матрасы</t>
        </is>
      </c>
      <c r="B43" s="11" t="inlineStr">
        <is>
          <t>Ур. 2: Матрасы</t>
        </is>
      </c>
      <c r="C43" s="11" t="inlineStr">
        <is>
          <t>Компактный моющий пылесос</t>
        </is>
      </c>
      <c r="D43" s="20" t="inlineStr">
        <is>
          <t>Аудитория</t>
        </is>
      </c>
      <c r="E43" s="11" t="inlineStr">
        <is>
          <t>М 51% / Ж 49%</t>
        </is>
      </c>
      <c r="F43" s="11" t="inlineStr">
        <is>
          <t>25–44 (69%)</t>
        </is>
      </c>
      <c r="G43" s="11" t="inlineStr">
        <is>
          <t>Москва и МО 17%, Казань 10%, Екатеринбург 9%</t>
        </is>
      </c>
      <c r="H43" s="11" t="inlineStr">
        <is>
          <t>Купили новый матрас — хотят сохранить его чистым</t>
        </is>
      </c>
      <c r="I43" s="5" t="inlineStr">
        <is>
          <t>Чистый сон</t>
        </is>
      </c>
      <c r="J43" s="6">
        <f>LEN(I43)</f>
        <v/>
      </c>
      <c r="K43" s="11" t="inlineStr">
        <is>
          <t>Моющий пылесос для матраса и мебели</t>
        </is>
      </c>
      <c r="L43" s="6">
        <f>LEN(K43)</f>
        <v/>
      </c>
    </row>
    <row r="44" ht="52" customHeight="1">
      <c r="A44" s="5" t="inlineStr">
        <is>
          <t>Бандаж для беременных</t>
        </is>
      </c>
      <c r="B44" s="11" t="inlineStr">
        <is>
          <t>Ур. 3: Бандаж для беременных</t>
        </is>
      </c>
      <c r="C44" s="11" t="inlineStr">
        <is>
          <t>Вертикальный пылесос</t>
        </is>
      </c>
      <c r="D44" s="20" t="inlineStr">
        <is>
          <t>Аудитория</t>
        </is>
      </c>
      <c r="E44" s="11" t="inlineStr">
        <is>
          <t>Ж 64% / М 36%</t>
        </is>
      </c>
      <c r="F44" s="11" t="inlineStr">
        <is>
          <t>18–34 (85%)</t>
        </is>
      </c>
      <c r="G44" s="11" t="inlineStr">
        <is>
          <t>Москва и МО 16%, Казань 10%, Екатеринбург 9%</t>
        </is>
      </c>
      <c r="H44" s="11" t="inlineStr">
        <is>
          <t>Беременным тяжело нагибаться — нужна лёгкая уборка. Маленький сегмент (122 тыс.)</t>
        </is>
      </c>
      <c r="I44" s="5" t="inlineStr">
        <is>
          <t>Уборка бережно</t>
        </is>
      </c>
      <c r="J44" s="6">
        <f>LEN(I44)</f>
        <v/>
      </c>
      <c r="K44" s="11" t="inlineStr">
        <is>
          <t>Лёгкий пылесос — уборка без наклонов</t>
        </is>
      </c>
      <c r="L44" s="6">
        <f>LEN(K44)</f>
        <v/>
      </c>
    </row>
    <row r="45" ht="52" customHeight="1">
      <c r="A45" s="5" t="inlineStr">
        <is>
          <t>Ламинат</t>
        </is>
      </c>
      <c r="B45" s="11" t="inlineStr">
        <is>
          <t>Ур. 3: Ламинат</t>
        </is>
      </c>
      <c r="C45" s="11" t="inlineStr">
        <is>
          <t>Вертикальный моющий пылесос</t>
        </is>
      </c>
      <c r="D45" s="20" t="inlineStr">
        <is>
          <t>Аудитория</t>
        </is>
      </c>
      <c r="E45" s="11" t="inlineStr">
        <is>
          <t>М 53% / Ж 47%</t>
        </is>
      </c>
      <c r="F45" s="11" t="inlineStr">
        <is>
          <t>25–44 (67%)</t>
        </is>
      </c>
      <c r="G45" s="11" t="inlineStr">
        <is>
          <t>Москва и МО 13%, Екатеринбург 8%, СПб 8%</t>
        </is>
      </c>
      <c r="H45" s="11" t="inlineStr">
        <is>
          <t>Новый ламинат боится воды — нужна влажная уборка без луж. Маленький сегмент (126 тыс.)</t>
        </is>
      </c>
      <c r="I45" s="5" t="inlineStr">
        <is>
          <t>Ламинат без луж</t>
        </is>
      </c>
      <c r="J45" s="6">
        <f>LEN(I45)</f>
        <v/>
      </c>
      <c r="K45" s="11" t="inlineStr">
        <is>
          <t>Моет ламинат минимумом воды</t>
        </is>
      </c>
      <c r="L45" s="6">
        <f>LEN(K45)</f>
        <v/>
      </c>
    </row>
    <row r="46" ht="52" customHeight="1">
      <c r="A46" s="5" t="inlineStr">
        <is>
          <t>Набор автохимии</t>
        </is>
      </c>
      <c r="B46" s="11" t="inlineStr">
        <is>
          <t>Ур. 3: Набор автохимии</t>
        </is>
      </c>
      <c r="C46" s="11" t="inlineStr">
        <is>
          <t>Компактный моющий пылесос</t>
        </is>
      </c>
      <c r="D46" s="20" t="inlineStr">
        <is>
          <t>Аудитория</t>
        </is>
      </c>
      <c r="E46" s="11" t="inlineStr">
        <is>
          <t>М 66% / Ж 34%</t>
        </is>
      </c>
      <c r="F46" s="11" t="inlineStr">
        <is>
          <t>18–34 (62%)</t>
        </is>
      </c>
      <c r="G46" s="11" t="inlineStr">
        <is>
          <t>Москва и МО 13%, Казань 11%, Краснодар 9%</t>
        </is>
      </c>
      <c r="H46" s="11" t="inlineStr">
        <is>
          <t>Сами ухаживают за машиной — пятна на сиденьях и коврах. Молодые мужчины</t>
        </is>
      </c>
      <c r="I46" s="5" t="inlineStr">
        <is>
          <t>Салон без пятен</t>
        </is>
      </c>
      <c r="J46" s="6">
        <f>LEN(I46)</f>
        <v/>
      </c>
      <c r="K46" s="11" t="inlineStr">
        <is>
          <t>Компактный моющий пылесос для салона</t>
        </is>
      </c>
      <c r="L46" s="6">
        <f>LEN(K46)</f>
        <v/>
      </c>
    </row>
    <row r="47" ht="52" customHeight="1">
      <c r="A47" s="5" t="inlineStr">
        <is>
          <t>Аптека</t>
        </is>
      </c>
      <c r="B47" s="11" t="inlineStr">
        <is>
          <t>Ур. 1: Аптека</t>
        </is>
      </c>
      <c r="C47" s="11" t="inlineStr">
        <is>
          <t>Вертикальный пылесос, паровая швабра</t>
        </is>
      </c>
      <c r="D47" s="20" t="inlineStr">
        <is>
          <t>Аудитория</t>
        </is>
      </c>
      <c r="E47" s="11" t="inlineStr">
        <is>
          <t>М 51% / Ж 49%</t>
        </is>
      </c>
      <c r="F47" s="11" t="inlineStr">
        <is>
          <t>25–44 (62%)</t>
        </is>
      </c>
      <c r="G47" s="11" t="inlineStr">
        <is>
          <t>Москва и МО 15%, Казань 10%, Екатеринбург 8%</t>
        </is>
      </c>
      <c r="H47" s="11" t="inlineStr">
        <is>
          <t>Огромная (39 млн) и экономная — только узко: Ж 45+. Болит спина от уборки. Без медицинских обещаний</t>
        </is>
      </c>
      <c r="I47" s="5" t="inlineStr">
        <is>
          <t>Легко для спины</t>
        </is>
      </c>
      <c r="J47" s="6">
        <f>LEN(I47)</f>
        <v/>
      </c>
      <c r="K47" s="11" t="inlineStr">
        <is>
          <t>Вертикальный пылесос — уборка без наклонов</t>
        </is>
      </c>
      <c r="L47" s="6">
        <f>LEN(K47)</f>
        <v/>
      </c>
    </row>
    <row r="49" ht="22" customHeight="1">
      <c r="A49" s="3" t="inlineStr">
        <is>
          <t>Как пользоваться</t>
        </is>
      </c>
    </row>
    <row r="50" ht="30" customHeight="1">
      <c r="A50" s="8" t="inlineStr">
        <is>
          <t>•  Заголовок и подзаголовок укладываются в лимиты нативного баннера (18 и 42 символа) — подходят и для обычного баннера. Счётчик символов краснеет при превышении.</t>
        </is>
      </c>
    </row>
    <row r="51" ht="30" customHeight="1">
      <c r="A51" s="8" t="inlineStr">
        <is>
          <t>•  Тексты без превосходной степени, цен и обещаний скидок — по правилам Ozon. Перед запуском сверить с реальными характеристиками модели.</t>
        </is>
      </c>
    </row>
    <row r="52" ht="30" customHeight="1">
      <c r="A52" s="8" t="inlineStr">
        <is>
          <t>•  Тип: Размещение — показ в этой категории; Аудитория — сегмент «купили товары категории» в конструкторе (п. 8.1 правил); Конкуренты — ваша же категория, перехват покупателей других продавцов.</t>
        </is>
      </c>
    </row>
    <row r="53" ht="30" customHeight="1">
      <c r="A53" s="8" t="inlineStr">
        <is>
          <t>•  Категория в конструкторе: уровень 2 — шире охват, уровень 3 — точнее аудитория. Для узкого таргета берите уровень 3 (Конструктор сегментов → Поведение → «Какие категории товаров»).</t>
        </is>
      </c>
    </row>
    <row r="54" ht="15" customHeight="1">
      <c r="A54" s="8" t="inlineStr">
        <is>
          <t>•  Пол и возраст — % от покупателей с известными данными. Подробные цифры — на вкладке «Цифры смежных».</t>
        </is>
      </c>
    </row>
    <row r="56" ht="22" customHeight="1">
      <c r="A56" s="3" t="inlineStr">
        <is>
          <t>Главное</t>
        </is>
      </c>
    </row>
    <row r="57" ht="15" customHeight="1">
      <c r="A57" s="8" t="inlineStr">
        <is>
          <t>•  Смежные категории — что ещё покупают ваши покупатели на Ozon (одежду, бельё, обувь не учитывали — их покупают все).</t>
        </is>
      </c>
    </row>
    <row r="58" ht="60" customHeight="1">
      <c r="A58" s="8" t="inlineStr">
        <is>
          <t>•  Ваши товары в категориях Ozon: паровая швабра — «Утюги и отпариватели» (тип «Пароочиститель»), аэрогриль — «Мультиварки, хлебопечки, аэрогрили», виброплатформа — «Тренажеры», пылесосы — «Пылесосы», кофемашина — «Кофеварки и кофемашины». Поэтому пароочистители, моющие пылесосы и капсульные кофемашины — это перехват покупателей конкурентов, а не смежные категории.</t>
        </is>
      </c>
    </row>
    <row r="59" ht="45" customHeight="1">
      <c r="A59" s="8" t="inlineStr">
        <is>
          <t>•  Два типа ваших покупателей. «Технарь» (кофемашина, пылесосы): покупает электроинструмент, садовую технику, автоэлектронику, проекторы, бритвы. «Хозяйка / ЗОЖ» (аэрогриль, паровая швабра, виброплатформа): уборка, кухня, косметика, БАДы, зоотовары, детские товары.</t>
        </is>
      </c>
    </row>
    <row r="60" ht="30" customHeight="1">
      <c r="A60" s="8" t="inlineStr">
        <is>
          <t>•  Ваши товары покупают друг у друга: паровая швабра ↔ пылесосы ↔ кофемашина ↔ аэрогриль. Это допродажа своим: сегмент «покупали мои товары» + баннер с другим вашим товаром.</t>
        </is>
      </c>
    </row>
    <row r="61" ht="60" customHeight="1">
      <c r="A61" s="8" t="inlineStr">
        <is>
          <t>•  В первую очередь: паровая швабра → подгузники (мамы), мебель для кухни, держатели для швабр; пылесосы → питомцы, роботы для окон, ламинат, диваны; аэрогриль → бумага и формы для выпечки, детские товары, дача; виброплатформа → антицеллюлитные средства, фитнес-резинки, легинсы, тренажёры; кофемашина → проекторы, бритвы; самая платёжеспособная аудитория — холодильники, диваны, велотренажёры.</t>
        </is>
      </c>
    </row>
    <row r="62" ht="30" customHeight="1">
      <c r="A62" s="8" t="inlineStr">
        <is>
          <t>•  Огромные категории (аптека, детские товары, аксессуары для кухни, моющие средства, косметика, игрушки) — только с узким таргетом: там много покупателей с чеком до 1 000 ₽.</t>
        </is>
      </c>
    </row>
    <row r="63" ht="30" customHeight="1">
      <c r="A63" s="8" t="inlineStr">
        <is>
          <t>•  Нетипичные данные: «Садовый декор и теплицы», «Фитнес и йога», «Спортивное питание» (и вся категория «Пылесосы») — пол определён у 100% и сильный перекос в мужчин. Пол по ним не фильтровать.</t>
        </is>
      </c>
    </row>
    <row r="64" ht="30" customHeight="1">
      <c r="A64" s="8" t="inlineStr">
        <is>
          <t>•  Без медицинских обещаний («улучшает венозный отток», «запускает жиросжигание», «минус кг за месяц») — это нарушает закон о рекламе и правила Ozon. Для аптеки и похудения — про удобство, тонус и тренировки.</t>
        </is>
      </c>
    </row>
    <row r="66">
      <c r="A66" s="13" t="inlineStr">
        <is>
          <t>Источник: личный кабинет Ozon Seller → Портрет покупателя → Конструктор сегментов, 26.10.2026. «Чем зацепить» и тексты — рекомендации по этим данным.</t>
        </is>
      </c>
    </row>
  </sheetData>
  <mergeCells count="16">
    <mergeCell ref="A57:L57"/>
    <mergeCell ref="A54:L54"/>
    <mergeCell ref="A52:L52"/>
    <mergeCell ref="A64:L64"/>
    <mergeCell ref="A60:L60"/>
    <mergeCell ref="A49:L49"/>
    <mergeCell ref="A51:L51"/>
    <mergeCell ref="A63:L63"/>
    <mergeCell ref="A66:L66"/>
    <mergeCell ref="A61:L61"/>
    <mergeCell ref="A58:L58"/>
    <mergeCell ref="A56:L56"/>
    <mergeCell ref="A53:L53"/>
    <mergeCell ref="A50:L50"/>
    <mergeCell ref="A59:L59"/>
    <mergeCell ref="A62:L62"/>
  </mergeCells>
  <conditionalFormatting sqref="J5:J47">
    <cfRule type="cellIs" priority="1" operator="greaterThan" dxfId="0">
      <formula>18</formula>
    </cfRule>
  </conditionalFormatting>
  <conditionalFormatting sqref="L5:L47">
    <cfRule type="cellIs" priority="2" operator="greaterThan" dxfId="0">
      <formula>42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66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30" customWidth="1" min="18" max="18"/>
    <col width="30" customWidth="1" min="19" max="19"/>
    <col width="18" customWidth="1" min="20" max="20"/>
    <col width="50" customWidth="1" min="21" max="21"/>
  </cols>
  <sheetData>
    <row r="1">
      <c r="A1" s="1" t="inlineStr">
        <is>
          <t>Портрет покупателей смежных категорий</t>
        </is>
      </c>
    </row>
    <row r="2">
      <c r="A2" s="2" t="inlineStr">
        <is>
          <t>Покупатели категории у всех продавцов Ozon, купили ≥1 раза за 365 дней. Первая строка — ваши покупатели для сравнения. Выгрузка 26.10.2026.</t>
        </is>
      </c>
    </row>
    <row r="4" ht="22" customHeight="1">
      <c r="A4" s="3" t="inlineStr">
        <is>
          <t>Как читать</t>
        </is>
      </c>
    </row>
    <row r="5" ht="15" customHeight="1">
      <c r="A5" s="8" t="inlineStr">
        <is>
          <t>•  Пол и возраст — % от покупателей с известным полом/возрастом; чек — средний чек покупателя на Ozon в целом.</t>
        </is>
      </c>
    </row>
    <row r="6" ht="30" customHeight="1">
      <c r="A6" s="8" t="inlineStr">
        <is>
          <t>•  Цвет: чем зеленее ячейка, тем выше доля в столбце. Сравнивайте со строкой «Ваши покупатели»: ваш покупатель — 25–44, 56% женщин, чек 1–10 тыс.</t>
        </is>
      </c>
    </row>
    <row r="7" ht="30" customHeight="1">
      <c r="A7" s="8" t="inlineStr">
        <is>
          <t>•  Тип: Размещение — можно ставить баннер в категории; Аудитория — только через сегмент «купили товары категории» (правило п. 8.1).</t>
        </is>
      </c>
    </row>
    <row r="9" ht="32" customHeight="1">
      <c r="A9" s="4" t="inlineStr">
        <is>
          <t>Смежная категория</t>
        </is>
      </c>
      <c r="B9" s="4" t="inlineStr">
        <is>
          <t>Для вашей</t>
        </is>
      </c>
      <c r="C9" s="4" t="inlineStr">
        <is>
          <t>Тип</t>
        </is>
      </c>
      <c r="D9" s="4" t="inlineStr">
        <is>
          <t>Охват, чел.</t>
        </is>
      </c>
      <c r="E9" s="4" t="inlineStr">
        <is>
          <t>Мужчины</t>
        </is>
      </c>
      <c r="F9" s="4" t="inlineStr">
        <is>
          <t>Женщины</t>
        </is>
      </c>
      <c r="G9" s="4" t="inlineStr">
        <is>
          <t>Пол определён</t>
        </is>
      </c>
      <c r="H9" s="4" t="inlineStr">
        <is>
          <t>18–24</t>
        </is>
      </c>
      <c r="I9" s="4" t="inlineStr">
        <is>
          <t>25–34</t>
        </is>
      </c>
      <c r="J9" s="4" t="inlineStr">
        <is>
          <t>35–44</t>
        </is>
      </c>
      <c r="K9" s="4" t="inlineStr">
        <is>
          <t>45–54</t>
        </is>
      </c>
      <c r="L9" s="4" t="inlineStr">
        <is>
          <t>55+</t>
        </is>
      </c>
      <c r="M9" s="4" t="inlineStr">
        <is>
          <t>Чек до 999 ₽</t>
        </is>
      </c>
      <c r="N9" s="4" t="inlineStr">
        <is>
          <t>1–3 тыс.</t>
        </is>
      </c>
      <c r="O9" s="4" t="inlineStr">
        <is>
          <t>3–10 тыс.</t>
        </is>
      </c>
      <c r="P9" s="4" t="inlineStr">
        <is>
          <t>10–30 тыс.</t>
        </is>
      </c>
      <c r="Q9" s="4" t="inlineStr">
        <is>
          <t>30 тыс.+</t>
        </is>
      </c>
      <c r="R9" s="4" t="inlineStr">
        <is>
          <t>Топ-3 региона</t>
        </is>
      </c>
      <c r="S9" s="4" t="inlineStr">
        <is>
          <t>Также покупают</t>
        </is>
      </c>
      <c r="T9" s="4" t="inlineStr">
        <is>
          <t>Таргет</t>
        </is>
      </c>
      <c r="U9" s="4" t="inlineStr">
        <is>
          <t>Вывод</t>
        </is>
      </c>
    </row>
    <row r="10" ht="42" customHeight="1">
      <c r="A10" s="22" t="inlineStr">
        <is>
          <t>Ваши покупатели (все товары)</t>
        </is>
      </c>
      <c r="B10" s="22" t="inlineStr">
        <is>
          <t>—</t>
        </is>
      </c>
      <c r="C10" s="23" t="inlineStr">
        <is>
          <t>—</t>
        </is>
      </c>
      <c r="D10" s="24" t="n">
        <v>16000</v>
      </c>
      <c r="E10" s="25" t="n">
        <v>0.4407</v>
      </c>
      <c r="F10" s="25" t="n">
        <v>0.5593</v>
      </c>
      <c r="G10" s="25" t="n">
        <v>0.6221</v>
      </c>
      <c r="H10" s="25" t="n">
        <v>0.176</v>
      </c>
      <c r="I10" s="25" t="n">
        <v>0.3622</v>
      </c>
      <c r="J10" s="25" t="n">
        <v>0.3047</v>
      </c>
      <c r="K10" s="25" t="n">
        <v>0.1089</v>
      </c>
      <c r="L10" s="25" t="n">
        <v>0.0464</v>
      </c>
      <c r="M10" s="25" t="n">
        <v>0.1582</v>
      </c>
      <c r="N10" s="25" t="n">
        <v>0.5788</v>
      </c>
      <c r="O10" s="25" t="n">
        <v>0.2437</v>
      </c>
      <c r="P10" s="25" t="n">
        <v>0.0167</v>
      </c>
      <c r="Q10" s="25" t="n">
        <v>0.0026</v>
      </c>
      <c r="R10" s="22" t="inlineStr">
        <is>
          <t>МСК 13.8%, Казань 8.9%, Екатеринбург 8.1%</t>
        </is>
      </c>
      <c r="S10" s="22" t="inlineStr">
        <is>
          <t>Дом и сад, красота и гигиена</t>
        </is>
      </c>
      <c r="T10" s="22" t="inlineStr">
        <is>
          <t>Ж+М 25–44</t>
        </is>
      </c>
      <c r="U10" s="22" t="inlineStr">
        <is>
          <t>Эталон для сравнения</t>
        </is>
      </c>
    </row>
    <row r="11" ht="42" customHeight="1">
      <c r="A11" s="5" t="inlineStr">
        <is>
          <t>Капсульные кофемашины</t>
        </is>
      </c>
      <c r="B11" s="11" t="inlineStr">
        <is>
          <t>Кофеварки</t>
        </is>
      </c>
      <c r="C11" s="19" t="inlineStr">
        <is>
          <t>Конкуренты</t>
        </is>
      </c>
      <c r="D11" s="26" t="n">
        <v>120000</v>
      </c>
      <c r="E11" s="16" t="n">
        <v>0.575</v>
      </c>
      <c r="F11" s="16" t="n">
        <v>0.425</v>
      </c>
      <c r="G11" s="16" t="n">
        <v>0.735</v>
      </c>
      <c r="H11" s="16" t="n">
        <v>0.166</v>
      </c>
      <c r="I11" s="16" t="n">
        <v>0.323</v>
      </c>
      <c r="J11" s="16" t="n">
        <v>0.315</v>
      </c>
      <c r="K11" s="16" t="n">
        <v>0.138</v>
      </c>
      <c r="L11" s="16" t="n">
        <v>0.057</v>
      </c>
      <c r="M11" s="16" t="n">
        <v>0.157</v>
      </c>
      <c r="N11" s="16" t="n">
        <v>0.537</v>
      </c>
      <c r="O11" s="16" t="n">
        <v>0.265</v>
      </c>
      <c r="P11" s="16" t="n">
        <v>0.035</v>
      </c>
      <c r="Q11" s="16" t="n">
        <v>0.006999999999999999</v>
      </c>
      <c r="R11" s="11" t="inlineStr">
        <is>
          <t>МСК 24.8%, СПб 10.3%, Казань 7.9%</t>
        </is>
      </c>
      <c r="S11" s="11" t="inlineStr">
        <is>
          <t>Кофеварки, напитки, моющие</t>
        </is>
      </c>
      <c r="T11" s="11" t="inlineStr">
        <is>
          <t>М+Ж 25–44, Москва и СПб</t>
        </is>
      </c>
      <c r="U11" s="11" t="inlineStr">
        <is>
          <t>Самая платёжеспособная (чек 3–10 тыс. у 27%) и столичная аудитория. Лучшее совпадение для кофеварок</t>
        </is>
      </c>
    </row>
    <row r="12" ht="42" customHeight="1">
      <c r="A12" s="5" t="inlineStr">
        <is>
          <t>Проекторы</t>
        </is>
      </c>
      <c r="B12" s="11" t="inlineStr">
        <is>
          <t>Кофеварки</t>
        </is>
      </c>
      <c r="C12" s="20" t="inlineStr">
        <is>
          <t>Аудитория</t>
        </is>
      </c>
      <c r="D12" s="26" t="n">
        <v>585000</v>
      </c>
      <c r="E12" s="16" t="n">
        <v>0.6709999999999999</v>
      </c>
      <c r="F12" s="16" t="n">
        <v>0.329</v>
      </c>
      <c r="G12" s="16" t="n">
        <v>0.619</v>
      </c>
      <c r="H12" s="16" t="n">
        <v>0.175</v>
      </c>
      <c r="I12" s="16" t="n">
        <v>0.406</v>
      </c>
      <c r="J12" s="16" t="n">
        <v>0.324</v>
      </c>
      <c r="K12" s="16" t="n">
        <v>0.076</v>
      </c>
      <c r="L12" s="16" t="n">
        <v>0.016</v>
      </c>
      <c r="M12" s="16" t="n">
        <v>0.272</v>
      </c>
      <c r="N12" s="16" t="n">
        <v>0.506</v>
      </c>
      <c r="O12" s="16" t="n">
        <v>0.197</v>
      </c>
      <c r="P12" s="16" t="n">
        <v>0.021</v>
      </c>
      <c r="Q12" s="16" t="n">
        <v>0.005</v>
      </c>
      <c r="R12" s="11" t="inlineStr">
        <is>
          <t>МСК 15.7%, Казань 9.7%, Екатеринбург 7.8%</t>
        </is>
      </c>
      <c r="S12" s="11" t="inlineStr">
        <is>
          <t>Моющие, напитки, косметика</t>
        </is>
      </c>
      <c r="T12" s="11" t="inlineStr">
        <is>
          <t>М 25–34</t>
        </is>
      </c>
      <c r="U12" s="11" t="inlineStr">
        <is>
          <t>Молодые мужчины-гаджетоманы с высоким чеком — совпадает с покупателем кофеварок</t>
        </is>
      </c>
    </row>
    <row r="13" ht="42" customHeight="1">
      <c r="A13" s="5" t="inlineStr">
        <is>
          <t>Электроинструмент: шлифмашины</t>
        </is>
      </c>
      <c r="B13" s="11" t="inlineStr">
        <is>
          <t>Кофеварки, пылесосы</t>
        </is>
      </c>
      <c r="C13" s="20" t="inlineStr">
        <is>
          <t>Аудитория</t>
        </is>
      </c>
      <c r="D13" s="26" t="n">
        <v>2573000</v>
      </c>
      <c r="E13" s="16" t="n">
        <v>0.79</v>
      </c>
      <c r="F13" s="16" t="n">
        <v>0.21</v>
      </c>
      <c r="G13" s="16" t="n">
        <v>0.5429999999999999</v>
      </c>
      <c r="H13" s="16" t="n">
        <v>0.115</v>
      </c>
      <c r="I13" s="16" t="n">
        <v>0.317</v>
      </c>
      <c r="J13" s="16" t="n">
        <v>0.36</v>
      </c>
      <c r="K13" s="16" t="n">
        <v>0.153</v>
      </c>
      <c r="L13" s="16" t="n">
        <v>0.05400000000000001</v>
      </c>
      <c r="M13" s="16" t="n">
        <v>0.315</v>
      </c>
      <c r="N13" s="16" t="n">
        <v>0.532</v>
      </c>
      <c r="O13" s="16" t="n">
        <v>0.138</v>
      </c>
      <c r="P13" s="16" t="n">
        <v>0.013</v>
      </c>
      <c r="Q13" s="16" t="n">
        <v>0.002</v>
      </c>
      <c r="R13" s="11" t="inlineStr">
        <is>
          <t>МСК 11.8%, Казань 9.4%, Центр 7.8%</t>
        </is>
      </c>
      <c r="S13" s="11" t="inlineStr">
        <is>
          <t>Автозапчасти, моющие, напитки</t>
        </is>
      </c>
      <c r="T13" s="11" t="inlineStr">
        <is>
          <t>М 25–44</t>
        </is>
      </c>
      <c r="U13" s="11" t="inlineStr">
        <is>
          <t>Мужская аудитория, регионы. Креатив: «техника для дома / подарок»</t>
        </is>
      </c>
    </row>
    <row r="14" ht="42" customHeight="1">
      <c r="A14" s="5" t="inlineStr">
        <is>
          <t>Электроинструмент: дрели</t>
        </is>
      </c>
      <c r="B14" s="11" t="inlineStr">
        <is>
          <t>Кофеварки, пылесосы</t>
        </is>
      </c>
      <c r="C14" s="20" t="inlineStr">
        <is>
          <t>Аудитория</t>
        </is>
      </c>
      <c r="D14" s="26" t="n">
        <v>3750000</v>
      </c>
      <c r="E14" s="16" t="n">
        <v>0.745</v>
      </c>
      <c r="F14" s="16" t="n">
        <v>0.255</v>
      </c>
      <c r="G14" s="16" t="n">
        <v>0.529</v>
      </c>
      <c r="H14" s="16" t="n">
        <v>0.135</v>
      </c>
      <c r="I14" s="16" t="n">
        <v>0.318</v>
      </c>
      <c r="J14" s="16" t="n">
        <v>0.346</v>
      </c>
      <c r="K14" s="16" t="n">
        <v>0.147</v>
      </c>
      <c r="L14" s="16" t="n">
        <v>0.052</v>
      </c>
      <c r="M14" s="16" t="n">
        <v>0.325</v>
      </c>
      <c r="N14" s="16" t="n">
        <v>0.519</v>
      </c>
      <c r="O14" s="16" t="n">
        <v>0.139</v>
      </c>
      <c r="P14" s="16" t="n">
        <v>0.014</v>
      </c>
      <c r="Q14" s="16" t="n">
        <v>0.003</v>
      </c>
      <c r="R14" s="11" t="inlineStr">
        <is>
          <t>МСК 11.1%, Казань 9.7%, Екатеринбург 7.8%</t>
        </is>
      </c>
      <c r="S14" s="11" t="inlineStr">
        <is>
          <t>Моющие, автозапчасти, напитки</t>
        </is>
      </c>
      <c r="T14" s="11" t="inlineStr">
        <is>
          <t>М 25–44</t>
        </is>
      </c>
      <c r="U14" s="11" t="inlineStr">
        <is>
          <t>То же, что шлифмашины — мужчины 25–44</t>
        </is>
      </c>
    </row>
    <row r="15" ht="42" customHeight="1">
      <c r="A15" s="5" t="inlineStr">
        <is>
          <t>Электроинструмент: пилы</t>
        </is>
      </c>
      <c r="B15" s="11" t="inlineStr">
        <is>
          <t>Кофеварки, пылесосы</t>
        </is>
      </c>
      <c r="C15" s="20" t="inlineStr">
        <is>
          <t>Аудитория</t>
        </is>
      </c>
      <c r="D15" s="26" t="n">
        <v>2428000</v>
      </c>
      <c r="E15" s="16" t="n">
        <v>0.713</v>
      </c>
      <c r="F15" s="16" t="n">
        <v>0.287</v>
      </c>
      <c r="G15" s="16" t="n">
        <v>0.537</v>
      </c>
      <c r="H15" s="16" t="n">
        <v>0.08800000000000001</v>
      </c>
      <c r="I15" s="16" t="n">
        <v>0.289</v>
      </c>
      <c r="J15" s="16" t="n">
        <v>0.373</v>
      </c>
      <c r="K15" s="16" t="n">
        <v>0.173</v>
      </c>
      <c r="L15" s="16" t="n">
        <v>0.075</v>
      </c>
      <c r="M15" s="16" t="n">
        <v>0.327</v>
      </c>
      <c r="N15" s="16" t="n">
        <v>0.526</v>
      </c>
      <c r="O15" s="16" t="n">
        <v>0.133</v>
      </c>
      <c r="P15" s="16" t="n">
        <v>0.012</v>
      </c>
      <c r="Q15" s="16" t="n">
        <v>0.002</v>
      </c>
      <c r="R15" s="11" t="inlineStr">
        <is>
          <t>МСК 11.2%, Казань 10.1%, Екатеринбург 7.9%</t>
        </is>
      </c>
      <c r="S15" s="11" t="inlineStr">
        <is>
          <t>Моющие, автозапчасти, напитки</t>
        </is>
      </c>
      <c r="T15" s="11" t="inlineStr">
        <is>
          <t>М 35–54</t>
        </is>
      </c>
      <c r="U15" s="11" t="inlineStr">
        <is>
          <t>Старше: 35–54, дачники</t>
        </is>
      </c>
    </row>
    <row r="16" ht="42" customHeight="1">
      <c r="A16" s="5" t="inlineStr">
        <is>
          <t>Садовый электроинструмент</t>
        </is>
      </c>
      <c r="B16" s="11" t="inlineStr">
        <is>
          <t>Кофеварки, пылесосы</t>
        </is>
      </c>
      <c r="C16" s="20" t="inlineStr">
        <is>
          <t>Аудитория</t>
        </is>
      </c>
      <c r="D16" s="26" t="n">
        <v>3721000</v>
      </c>
      <c r="E16" s="16" t="n">
        <v>0.633</v>
      </c>
      <c r="F16" s="16" t="n">
        <v>0.367</v>
      </c>
      <c r="G16" s="16" t="n">
        <v>0.585</v>
      </c>
      <c r="H16" s="16" t="n">
        <v>0.07200000000000001</v>
      </c>
      <c r="I16" s="16" t="n">
        <v>0.254</v>
      </c>
      <c r="J16" s="16" t="n">
        <v>0.3720000000000001</v>
      </c>
      <c r="K16" s="16" t="n">
        <v>0.197</v>
      </c>
      <c r="L16" s="16" t="n">
        <v>0.104</v>
      </c>
      <c r="M16" s="16" t="n">
        <v>0.324</v>
      </c>
      <c r="N16" s="16" t="n">
        <v>0.525</v>
      </c>
      <c r="O16" s="16" t="n">
        <v>0.138</v>
      </c>
      <c r="P16" s="16" t="n">
        <v>0.012</v>
      </c>
      <c r="Q16" s="16" t="n">
        <v>0.002</v>
      </c>
      <c r="R16" s="11" t="inlineStr">
        <is>
          <t>МСК 13.4%, Казань 10.8%, Екатеринбург 8.7%</t>
        </is>
      </c>
      <c r="S16" s="11" t="inlineStr">
        <is>
          <t>Моющие, напитки, автозапчасти</t>
        </is>
      </c>
      <c r="T16" s="11" t="inlineStr">
        <is>
          <t>М+Ж 35–54</t>
        </is>
      </c>
      <c r="U16" s="11" t="inlineStr">
        <is>
          <t>Самая взрослая аудитория (45+ = 30%), дачники. Сезонно — весна/лето</t>
        </is>
      </c>
    </row>
    <row r="17" ht="42" customHeight="1">
      <c r="A17" s="5" t="inlineStr">
        <is>
          <t>Электроника для автомобиля</t>
        </is>
      </c>
      <c r="B17" s="11" t="inlineStr">
        <is>
          <t>Кофеварки</t>
        </is>
      </c>
      <c r="C17" s="20" t="inlineStr">
        <is>
          <t>Аудитория</t>
        </is>
      </c>
      <c r="D17" s="26" t="n">
        <v>4526000</v>
      </c>
      <c r="E17" s="16" t="n">
        <v>0.797</v>
      </c>
      <c r="F17" s="16" t="n">
        <v>0.203</v>
      </c>
      <c r="G17" s="16" t="n">
        <v>0.58</v>
      </c>
      <c r="H17" s="16" t="n">
        <v>0.14</v>
      </c>
      <c r="I17" s="16" t="n">
        <v>0.322</v>
      </c>
      <c r="J17" s="16" t="n">
        <v>0.361</v>
      </c>
      <c r="K17" s="16" t="n">
        <v>0.138</v>
      </c>
      <c r="L17" s="16" t="n">
        <v>0.038</v>
      </c>
      <c r="M17" s="16" t="n">
        <v>0.339</v>
      </c>
      <c r="N17" s="16" t="n">
        <v>0.531</v>
      </c>
      <c r="O17" s="16" t="n">
        <v>0.119</v>
      </c>
      <c r="P17" s="16" t="n">
        <v>0.009000000000000001</v>
      </c>
      <c r="Q17" s="16" t="n">
        <v>0.002</v>
      </c>
      <c r="R17" s="11" t="inlineStr">
        <is>
          <t>МСК 12.7%, Казань 10.5%, Екатеринбург 8.1%</t>
        </is>
      </c>
      <c r="S17" s="11" t="inlineStr">
        <is>
          <t>Автозапчасти, моющие, автокрепёж</t>
        </is>
      </c>
      <c r="T17" s="11" t="inlineStr">
        <is>
          <t>М 25–44</t>
        </is>
      </c>
      <c r="U17" s="11" t="inlineStr">
        <is>
          <t>Почти только мужчины (80%)</t>
        </is>
      </c>
    </row>
    <row r="18" ht="42" customHeight="1">
      <c r="A18" s="5" t="inlineStr">
        <is>
          <t>Стрижка волос, машинки</t>
        </is>
      </c>
      <c r="B18" s="11" t="inlineStr">
        <is>
          <t>Кофеварки, пылесосы</t>
        </is>
      </c>
      <c r="C18" s="20" t="inlineStr">
        <is>
          <t>Аудитория</t>
        </is>
      </c>
      <c r="D18" s="26" t="n">
        <v>6539000</v>
      </c>
      <c r="E18" s="16" t="n">
        <v>0.6879999999999999</v>
      </c>
      <c r="F18" s="16" t="n">
        <v>0.312</v>
      </c>
      <c r="G18" s="16" t="n">
        <v>0.542</v>
      </c>
      <c r="H18" s="16" t="n">
        <v>0.19</v>
      </c>
      <c r="I18" s="16" t="n">
        <v>0.323</v>
      </c>
      <c r="J18" s="16" t="n">
        <v>0.312</v>
      </c>
      <c r="K18" s="16" t="n">
        <v>0.122</v>
      </c>
      <c r="L18" s="16" t="n">
        <v>0.049</v>
      </c>
      <c r="M18" s="16" t="n">
        <v>0.382</v>
      </c>
      <c r="N18" s="16" t="n">
        <v>0.483</v>
      </c>
      <c r="O18" s="16" t="n">
        <v>0.125</v>
      </c>
      <c r="P18" s="16" t="n">
        <v>0.009000000000000001</v>
      </c>
      <c r="Q18" s="16" t="n">
        <v>0.002</v>
      </c>
      <c r="R18" s="11" t="inlineStr">
        <is>
          <t>МСК 13.2%, Казань 9.3%, Екатеринбург 7.5%</t>
        </is>
      </c>
      <c r="S18" s="11" t="inlineStr">
        <is>
          <t>Моющие, напитки, косметика</t>
        </is>
      </c>
      <c r="T18" s="11" t="inlineStr">
        <is>
          <t>М 18–44</t>
        </is>
      </c>
      <c r="U18" s="11" t="inlineStr">
        <is>
          <t>Мужчины помоложе, чек ниже ваших покупателей</t>
        </is>
      </c>
    </row>
    <row r="19" ht="42" customHeight="1">
      <c r="A19" s="5" t="inlineStr">
        <is>
          <t>Фены и термощётки</t>
        </is>
      </c>
      <c r="B19" s="11" t="inlineStr">
        <is>
          <t>Кофеварки, пылесосы</t>
        </is>
      </c>
      <c r="C19" s="20" t="inlineStr">
        <is>
          <t>Аудитория</t>
        </is>
      </c>
      <c r="D19" s="26" t="n">
        <v>3944000</v>
      </c>
      <c r="E19" s="16" t="n">
        <v>0.409</v>
      </c>
      <c r="F19" s="16" t="n">
        <v>0.591</v>
      </c>
      <c r="G19" s="16" t="n">
        <v>0.622</v>
      </c>
      <c r="H19" s="16" t="n">
        <v>0.213</v>
      </c>
      <c r="I19" s="16" t="n">
        <v>0.345</v>
      </c>
      <c r="J19" s="16" t="n">
        <v>0.308</v>
      </c>
      <c r="K19" s="16" t="n">
        <v>0.09699999999999999</v>
      </c>
      <c r="L19" s="16" t="n">
        <v>0.031</v>
      </c>
      <c r="M19" s="16" t="n">
        <v>0.357</v>
      </c>
      <c r="N19" s="16" t="n">
        <v>0.51</v>
      </c>
      <c r="O19" s="16" t="n">
        <v>0.123</v>
      </c>
      <c r="P19" s="16" t="n">
        <v>0.009000000000000001</v>
      </c>
      <c r="Q19" s="16" t="n">
        <v>0.002</v>
      </c>
      <c r="R19" s="11" t="inlineStr">
        <is>
          <t>МСК 14.1%, Казань 9.9%, Краснодар 8.2%</t>
        </is>
      </c>
      <c r="S19" s="11" t="inlineStr">
        <is>
          <t>Моющие, косметика для волос и ухода</t>
        </is>
      </c>
      <c r="T19" s="11" t="inlineStr">
        <is>
          <t>Ж 18–34</t>
        </is>
      </c>
      <c r="U19" s="11" t="inlineStr">
        <is>
          <t>Молодые женщины — подходит для утюгов/отпаривателей</t>
        </is>
      </c>
    </row>
    <row r="20" ht="42" customHeight="1">
      <c r="A20" s="5" t="inlineStr">
        <is>
          <t>Вакуумные упаковщики</t>
        </is>
      </c>
      <c r="B20" s="11" t="inlineStr">
        <is>
          <t>Кофеварки</t>
        </is>
      </c>
      <c r="C20" s="21" t="inlineStr">
        <is>
          <t>Размещение</t>
        </is>
      </c>
      <c r="D20" s="26" t="n">
        <v>1989000</v>
      </c>
      <c r="E20" s="16" t="n">
        <v>0.487</v>
      </c>
      <c r="F20" s="16" t="n">
        <v>0.513</v>
      </c>
      <c r="G20" s="16" t="n">
        <v>0.624</v>
      </c>
      <c r="H20" s="16" t="n">
        <v>0.12</v>
      </c>
      <c r="I20" s="16" t="n">
        <v>0.324</v>
      </c>
      <c r="J20" s="16" t="n">
        <v>0.341</v>
      </c>
      <c r="K20" s="16" t="n">
        <v>0.149</v>
      </c>
      <c r="L20" s="16" t="n">
        <v>0.064</v>
      </c>
      <c r="M20" s="16" t="n">
        <v>0.402</v>
      </c>
      <c r="N20" s="16" t="n">
        <v>0.489</v>
      </c>
      <c r="O20" s="16" t="n">
        <v>0.102</v>
      </c>
      <c r="P20" s="16" t="n">
        <v>0.006999999999999999</v>
      </c>
      <c r="Q20" s="16" t="n">
        <v>0.001</v>
      </c>
      <c r="R20" s="11" t="inlineStr">
        <is>
          <t>МСК 11.8%, Казань 10.8%, Екатеринбург 8.9%</t>
        </is>
      </c>
      <c r="S20" s="11" t="inlineStr">
        <is>
          <t>Моющие, косметика, напитки</t>
        </is>
      </c>
      <c r="T20" s="11" t="inlineStr">
        <is>
          <t>М+Ж 25–44</t>
        </is>
      </c>
      <c r="U20" s="11" t="inlineStr">
        <is>
          <t>Кухонная техника, пол 50/50 — рядом с кофеварками и мультиварками</t>
        </is>
      </c>
    </row>
    <row r="21" ht="42" customHeight="1">
      <c r="A21" s="5" t="inlineStr">
        <is>
          <t>Пароочистители</t>
        </is>
      </c>
      <c r="B21" s="11" t="inlineStr">
        <is>
          <t>Утюги и отпариватели</t>
        </is>
      </c>
      <c r="C21" s="19" t="inlineStr">
        <is>
          <t>Конкуренты</t>
        </is>
      </c>
      <c r="D21" s="26" t="n">
        <v>1121000</v>
      </c>
      <c r="E21" s="16" t="n">
        <v>0.47</v>
      </c>
      <c r="F21" s="16" t="n">
        <v>0.53</v>
      </c>
      <c r="G21" s="16" t="n">
        <v>0.591</v>
      </c>
      <c r="H21" s="16" t="n">
        <v>0.152</v>
      </c>
      <c r="I21" s="16" t="n">
        <v>0.359</v>
      </c>
      <c r="J21" s="16" t="n">
        <v>0.312</v>
      </c>
      <c r="K21" s="16" t="n">
        <v>0.125</v>
      </c>
      <c r="L21" s="16" t="n">
        <v>0.049</v>
      </c>
      <c r="M21" s="16" t="n">
        <v>0.365</v>
      </c>
      <c r="N21" s="16" t="n">
        <v>0.4970000000000001</v>
      </c>
      <c r="O21" s="16" t="n">
        <v>0.127</v>
      </c>
      <c r="P21" s="16" t="n">
        <v>0.009000000000000001</v>
      </c>
      <c r="Q21" s="16" t="n">
        <v>0.001</v>
      </c>
      <c r="R21" s="11" t="inlineStr">
        <is>
          <t>МСК 12.1%, Казань 10.1%, Екатеринбург 8%</t>
        </is>
      </c>
      <c r="S21" s="11" t="inlineStr">
        <is>
          <t>Утюги и отпариватели, моющие, косметика</t>
        </is>
      </c>
      <c r="T21" s="11" t="inlineStr">
        <is>
          <t>М+Ж 25–44</t>
        </is>
      </c>
      <c r="U21" s="11" t="inlineStr">
        <is>
          <t>Сами покупают утюги/отпариватели — лучшая точка для утюгов</t>
        </is>
      </c>
    </row>
    <row r="22" ht="42" customHeight="1">
      <c r="A22" s="5" t="inlineStr">
        <is>
          <t>Моющие пылесосы</t>
        </is>
      </c>
      <c r="B22" s="11" t="inlineStr">
        <is>
          <t>Пылесосы</t>
        </is>
      </c>
      <c r="C22" s="19" t="inlineStr">
        <is>
          <t>Конкуренты</t>
        </is>
      </c>
      <c r="D22" s="26" t="n">
        <v>891000</v>
      </c>
      <c r="E22" s="16" t="n">
        <v>0.5</v>
      </c>
      <c r="F22" s="16" t="n">
        <v>0.5</v>
      </c>
      <c r="G22" s="16" t="n">
        <v>0.597</v>
      </c>
      <c r="H22" s="16" t="n">
        <v>0.158</v>
      </c>
      <c r="I22" s="16" t="n">
        <v>0.424</v>
      </c>
      <c r="J22" s="16" t="n">
        <v>0.3</v>
      </c>
      <c r="K22" s="16" t="n">
        <v>0.08900000000000001</v>
      </c>
      <c r="L22" s="16" t="n">
        <v>0.026</v>
      </c>
      <c r="M22" s="16" t="n">
        <v>0.317</v>
      </c>
      <c r="N22" s="16" t="n">
        <v>0.503</v>
      </c>
      <c r="O22" s="16" t="n">
        <v>0.162</v>
      </c>
      <c r="P22" s="16" t="n">
        <v>0.015</v>
      </c>
      <c r="Q22" s="16" t="n">
        <v>0.003</v>
      </c>
      <c r="R22" s="11" t="inlineStr">
        <is>
          <t>МСК 12.3%, Казань 10.7%, Екатеринбург 8.4%</t>
        </is>
      </c>
      <c r="S22" s="11" t="inlineStr">
        <is>
          <t>Моющие, косметика</t>
        </is>
      </c>
      <c r="T22" s="11" t="inlineStr">
        <is>
          <t>М+Ж 25–34</t>
        </is>
      </c>
      <c r="U22" s="11" t="inlineStr">
        <is>
          <t>Молодые (25–34 = 42%), чек выше среднего — идеально для пылесосов</t>
        </is>
      </c>
    </row>
    <row r="23" ht="42" customHeight="1">
      <c r="A23" s="5" t="inlineStr">
        <is>
          <t>Роботы для мойки окон</t>
        </is>
      </c>
      <c r="B23" s="11" t="inlineStr">
        <is>
          <t>Пылесосы</t>
        </is>
      </c>
      <c r="C23" s="21" t="inlineStr">
        <is>
          <t>Размещение</t>
        </is>
      </c>
      <c r="D23" s="26" t="n">
        <v>755000</v>
      </c>
      <c r="E23" s="16" t="n">
        <v>0.493</v>
      </c>
      <c r="F23" s="16" t="n">
        <v>0.507</v>
      </c>
      <c r="G23" s="16" t="n">
        <v>0.6779999999999999</v>
      </c>
      <c r="H23" s="16" t="n">
        <v>0.099</v>
      </c>
      <c r="I23" s="16" t="n">
        <v>0.313</v>
      </c>
      <c r="J23" s="16" t="n">
        <v>0.354</v>
      </c>
      <c r="K23" s="16" t="n">
        <v>0.16</v>
      </c>
      <c r="L23" s="16" t="n">
        <v>0.073</v>
      </c>
      <c r="M23" s="16" t="n">
        <v>0.281</v>
      </c>
      <c r="N23" s="16" t="n">
        <v>0.544</v>
      </c>
      <c r="O23" s="16" t="n">
        <v>0.161</v>
      </c>
      <c r="P23" s="16" t="n">
        <v>0.012</v>
      </c>
      <c r="Q23" s="16" t="n">
        <v>0.002</v>
      </c>
      <c r="R23" s="11" t="inlineStr">
        <is>
          <t>МСК 15.6%, Казань 10.4%, Центр 8.6%</t>
        </is>
      </c>
      <c r="S23" s="11" t="inlineStr">
        <is>
          <t>Моющие, косметика, напитки</t>
        </is>
      </c>
      <c r="T23" s="11" t="inlineStr">
        <is>
          <t>М+Ж 35–44</t>
        </is>
      </c>
      <c r="U23" s="11" t="inlineStr">
        <is>
          <t>Платёжеспособные, 35–44 — техника для уборки</t>
        </is>
      </c>
    </row>
    <row r="24" ht="42" customHeight="1">
      <c r="A24" s="5" t="inlineStr">
        <is>
          <t>Моющие и чистящие средства</t>
        </is>
      </c>
      <c r="B24" s="11" t="inlineStr">
        <is>
          <t>Пылесосы, утюги</t>
        </is>
      </c>
      <c r="C24" s="21" t="inlineStr">
        <is>
          <t>Размещение</t>
        </is>
      </c>
      <c r="D24" s="26" t="n">
        <v>32039000</v>
      </c>
      <c r="E24" s="16" t="n">
        <v>0.466</v>
      </c>
      <c r="F24" s="16" t="n">
        <v>0.534</v>
      </c>
      <c r="G24" s="16" t="n">
        <v>0.623</v>
      </c>
      <c r="H24" s="16" t="n">
        <v>0.157</v>
      </c>
      <c r="I24" s="16" t="n">
        <v>0.321</v>
      </c>
      <c r="J24" s="16" t="n">
        <v>0.324</v>
      </c>
      <c r="K24" s="16" t="n">
        <v>0.132</v>
      </c>
      <c r="L24" s="16" t="n">
        <v>0.063</v>
      </c>
      <c r="M24" s="16" t="n">
        <v>0.409</v>
      </c>
      <c r="N24" s="16" t="n">
        <v>0.475</v>
      </c>
      <c r="O24" s="16" t="n">
        <v>0.107</v>
      </c>
      <c r="P24" s="16" t="n">
        <v>0.008</v>
      </c>
      <c r="Q24" s="16" t="n">
        <v>0.002</v>
      </c>
      <c r="R24" s="11" t="inlineStr">
        <is>
          <t>МСК 15.2%, Казань 9.8%, Екатеринбург 8.3%</t>
        </is>
      </c>
      <c r="S24" s="11" t="inlineStr">
        <is>
          <t>Косметика, напитки</t>
        </is>
      </c>
      <c r="T24" s="11" t="inlineStr">
        <is>
          <t>Ж 25–44</t>
        </is>
      </c>
      <c r="U24" s="11" t="inlineStr">
        <is>
          <t>Огромная (32 млн), но экономная: чек до 1 тыс. у 41%. Только с узким таргетом</t>
        </is>
      </c>
    </row>
    <row r="25" ht="42" customHeight="1">
      <c r="A25" s="5" t="inlineStr">
        <is>
          <t>Ножи кухонные</t>
        </is>
      </c>
      <c r="B25" s="11" t="inlineStr">
        <is>
          <t>Пылесосы</t>
        </is>
      </c>
      <c r="C25" s="20" t="inlineStr">
        <is>
          <t>Аудитория</t>
        </is>
      </c>
      <c r="D25" s="26" t="n">
        <v>4042000</v>
      </c>
      <c r="E25" s="16" t="n">
        <v>0.623</v>
      </c>
      <c r="F25" s="16" t="n">
        <v>0.377</v>
      </c>
      <c r="G25" s="16" t="n">
        <v>0.58</v>
      </c>
      <c r="H25" s="16" t="n">
        <v>0.131</v>
      </c>
      <c r="I25" s="16" t="n">
        <v>0.288</v>
      </c>
      <c r="J25" s="16" t="n">
        <v>0.337</v>
      </c>
      <c r="K25" s="16" t="n">
        <v>0.164</v>
      </c>
      <c r="L25" s="16" t="n">
        <v>0.078</v>
      </c>
      <c r="M25" s="16" t="n">
        <v>0.415</v>
      </c>
      <c r="N25" s="16" t="n">
        <v>0.466</v>
      </c>
      <c r="O25" s="16" t="n">
        <v>0.11</v>
      </c>
      <c r="P25" s="16" t="n">
        <v>0.009000000000000001</v>
      </c>
      <c r="Q25" s="16" t="n">
        <v>0.001</v>
      </c>
      <c r="R25" s="11" t="inlineStr">
        <is>
          <t>МСК 14%, Казань 9.1%, Краснодар 7.7%</t>
        </is>
      </c>
      <c r="S25" s="11" t="inlineStr">
        <is>
          <t>Моющие, напитки, косметика</t>
        </is>
      </c>
      <c r="T25" s="11" t="inlineStr">
        <is>
          <t>М 35–54</t>
        </is>
      </c>
      <c r="U25" s="11" t="inlineStr">
        <is>
          <t>Больше мужчин, старше; чек ниже</t>
        </is>
      </c>
    </row>
    <row r="26" ht="42" customHeight="1">
      <c r="A26" s="5" t="inlineStr">
        <is>
          <t>Бумага пищевая</t>
        </is>
      </c>
      <c r="B26" s="11" t="inlineStr">
        <is>
          <t>Мультиварки</t>
        </is>
      </c>
      <c r="C26" s="21" t="inlineStr">
        <is>
          <t>Размещение</t>
        </is>
      </c>
      <c r="D26" s="26" t="n">
        <v>4103000</v>
      </c>
      <c r="E26" s="16" t="n">
        <v>0.371</v>
      </c>
      <c r="F26" s="16" t="n">
        <v>0.629</v>
      </c>
      <c r="G26" s="16" t="n">
        <v>0.664</v>
      </c>
      <c r="H26" s="16" t="n">
        <v>0.124</v>
      </c>
      <c r="I26" s="16" t="n">
        <v>0.304</v>
      </c>
      <c r="J26" s="16" t="n">
        <v>0.328</v>
      </c>
      <c r="K26" s="16" t="n">
        <v>0.154</v>
      </c>
      <c r="L26" s="16" t="n">
        <v>0.08900000000000001</v>
      </c>
      <c r="M26" s="16" t="n">
        <v>0.448</v>
      </c>
      <c r="N26" s="16" t="n">
        <v>0.454</v>
      </c>
      <c r="O26" s="16" t="n">
        <v>0.092</v>
      </c>
      <c r="P26" s="16" t="n">
        <v>0.005</v>
      </c>
      <c r="Q26" s="16" t="n">
        <v>0.001</v>
      </c>
      <c r="R26" s="11" t="inlineStr">
        <is>
          <t>МСК 15.7%, Казань 9.9%, Екатеринбург 8.5%</t>
        </is>
      </c>
      <c r="S26" s="11" t="inlineStr">
        <is>
          <t>Моющие, косметика</t>
        </is>
      </c>
      <c r="T26" s="11" t="inlineStr">
        <is>
          <t>Ж 25–54</t>
        </is>
      </c>
      <c r="U26" s="11" t="inlineStr">
        <is>
          <t>Хозяйки, экономные — рядом с аэрогрилями (бумага для аэрогриля)</t>
        </is>
      </c>
    </row>
    <row r="27" ht="42" customHeight="1">
      <c r="A27" s="5" t="inlineStr">
        <is>
          <t>Формы для запекания</t>
        </is>
      </c>
      <c r="B27" s="11" t="inlineStr">
        <is>
          <t>Мультиварки</t>
        </is>
      </c>
      <c r="C27" s="21" t="inlineStr">
        <is>
          <t>Размещение</t>
        </is>
      </c>
      <c r="D27" s="26" t="n">
        <v>5027000</v>
      </c>
      <c r="E27" s="16" t="n">
        <v>0.359</v>
      </c>
      <c r="F27" s="16" t="n">
        <v>0.6409999999999999</v>
      </c>
      <c r="G27" s="16" t="n">
        <v>0.6659999999999999</v>
      </c>
      <c r="H27" s="16" t="n">
        <v>0.163</v>
      </c>
      <c r="I27" s="16" t="n">
        <v>0.325</v>
      </c>
      <c r="J27" s="16" t="n">
        <v>0.298</v>
      </c>
      <c r="K27" s="16" t="n">
        <v>0.137</v>
      </c>
      <c r="L27" s="16" t="n">
        <v>0.07400000000000001</v>
      </c>
      <c r="M27" s="16" t="n">
        <v>0.434</v>
      </c>
      <c r="N27" s="16" t="n">
        <v>0.471</v>
      </c>
      <c r="O27" s="16" t="n">
        <v>0.08900000000000001</v>
      </c>
      <c r="P27" s="16" t="n">
        <v>0.005</v>
      </c>
      <c r="Q27" s="16" t="n">
        <v>0.001</v>
      </c>
      <c r="R27" s="11" t="inlineStr">
        <is>
          <t>МСК 15.2%, Казань 9.9%, Екатеринбург 8.4%</t>
        </is>
      </c>
      <c r="S27" s="11" t="inlineStr">
        <is>
          <t>Моющие, косметика</t>
        </is>
      </c>
      <c r="T27" s="11" t="inlineStr">
        <is>
          <t>Ж 25–44</t>
        </is>
      </c>
      <c r="U27" s="11" t="inlineStr">
        <is>
          <t>Хозяйки 25–44 — совпадает с покупателем мультиварок</t>
        </is>
      </c>
    </row>
    <row r="28" ht="42" customHeight="1">
      <c r="A28" s="5" t="inlineStr">
        <is>
          <t>Пакеты для продуктов</t>
        </is>
      </c>
      <c r="B28" s="11" t="inlineStr">
        <is>
          <t>Мультиварки</t>
        </is>
      </c>
      <c r="C28" s="21" t="inlineStr">
        <is>
          <t>Размещение</t>
        </is>
      </c>
      <c r="D28" s="26" t="n">
        <v>5853000</v>
      </c>
      <c r="E28" s="16" t="n">
        <v>0.341</v>
      </c>
      <c r="F28" s="16" t="n">
        <v>0.659</v>
      </c>
      <c r="G28" s="16" t="n">
        <v>0.633</v>
      </c>
      <c r="H28" s="16" t="n">
        <v>0.118</v>
      </c>
      <c r="I28" s="16" t="n">
        <v>0.307</v>
      </c>
      <c r="J28" s="16" t="n">
        <v>0.33</v>
      </c>
      <c r="K28" s="16" t="n">
        <v>0.154</v>
      </c>
      <c r="L28" s="16" t="n">
        <v>0.08900000000000001</v>
      </c>
      <c r="M28" s="16" t="n">
        <v>0.487</v>
      </c>
      <c r="N28" s="16" t="n">
        <v>0.427</v>
      </c>
      <c r="O28" s="16" t="n">
        <v>0.08</v>
      </c>
      <c r="P28" s="16" t="n">
        <v>0.005</v>
      </c>
      <c r="Q28" s="16" t="n">
        <v>0.001</v>
      </c>
      <c r="R28" s="11" t="inlineStr">
        <is>
          <t>МСК 14.6%, Казань 10%, Краснодар 8.5%</t>
        </is>
      </c>
      <c r="S28" s="11" t="inlineStr">
        <is>
          <t>Моющие, косметика</t>
        </is>
      </c>
      <c r="T28" s="11" t="inlineStr">
        <is>
          <t>Ж 25–54</t>
        </is>
      </c>
      <c r="U28" s="11" t="inlineStr">
        <is>
          <t>Самая экономная аудитория (чек до 1 тыс. у 49%) — низкий приоритет</t>
        </is>
      </c>
    </row>
    <row r="29" ht="42" customHeight="1">
      <c r="A29" s="5" t="inlineStr">
        <is>
          <t>Корма для кошек и собак</t>
        </is>
      </c>
      <c r="B29" s="11" t="inlineStr">
        <is>
          <t>Утюги, тренажёры</t>
        </is>
      </c>
      <c r="C29" s="20" t="inlineStr">
        <is>
          <t>Аудитория</t>
        </is>
      </c>
      <c r="D29" s="26" t="n">
        <v>9390000</v>
      </c>
      <c r="E29" s="16" t="n">
        <v>0.444</v>
      </c>
      <c r="F29" s="16" t="n">
        <v>0.556</v>
      </c>
      <c r="G29" s="16" t="n">
        <v>0.706</v>
      </c>
      <c r="H29" s="16" t="n">
        <v>0.167</v>
      </c>
      <c r="I29" s="16" t="n">
        <v>0.312</v>
      </c>
      <c r="J29" s="16" t="n">
        <v>0.316</v>
      </c>
      <c r="K29" s="16" t="n">
        <v>0.145</v>
      </c>
      <c r="L29" s="16" t="n">
        <v>0.058</v>
      </c>
      <c r="M29" s="16" t="n">
        <v>0.334</v>
      </c>
      <c r="N29" s="16" t="n">
        <v>0.536</v>
      </c>
      <c r="O29" s="16" t="n">
        <v>0.124</v>
      </c>
      <c r="P29" s="16" t="n">
        <v>0.006</v>
      </c>
      <c r="Q29" s="16" t="n">
        <v>0.001</v>
      </c>
      <c r="R29" s="11" t="inlineStr">
        <is>
          <t>МСК 18.8%, Казань 9.3%, СПб 8.7%</t>
        </is>
      </c>
      <c r="S29" s="11" t="inlineStr">
        <is>
          <t>Моющие, косметика, напитки</t>
        </is>
      </c>
      <c r="T29" s="11" t="inlineStr">
        <is>
          <t>Ж 25–44</t>
        </is>
      </c>
      <c r="U29" s="11" t="inlineStr">
        <is>
          <t>Владельцы питомцев: шерсть → пылесосы, отпариватели. Много Москвы</t>
        </is>
      </c>
    </row>
    <row r="30" ht="42" customHeight="1">
      <c r="A30" s="5" t="inlineStr">
        <is>
          <t>Игрушки</t>
        </is>
      </c>
      <c r="B30" s="11" t="inlineStr">
        <is>
          <t>Утюги</t>
        </is>
      </c>
      <c r="C30" s="20" t="inlineStr">
        <is>
          <t>Аудитория</t>
        </is>
      </c>
      <c r="D30" s="26" t="n">
        <v>18454000</v>
      </c>
      <c r="E30" s="16" t="n">
        <v>0.604</v>
      </c>
      <c r="F30" s="16" t="n">
        <v>0.396</v>
      </c>
      <c r="G30" s="16" t="n">
        <v>0.5670000000000001</v>
      </c>
      <c r="H30" s="16" t="n">
        <v>0.215</v>
      </c>
      <c r="I30" s="16" t="n">
        <v>0.319</v>
      </c>
      <c r="J30" s="16" t="n">
        <v>0.292</v>
      </c>
      <c r="K30" s="16" t="n">
        <v>0.116</v>
      </c>
      <c r="L30" s="16" t="n">
        <v>0.051</v>
      </c>
      <c r="M30" s="16" t="n">
        <v>0.417</v>
      </c>
      <c r="N30" s="16" t="n">
        <v>0.449</v>
      </c>
      <c r="O30" s="16" t="n">
        <v>0.115</v>
      </c>
      <c r="P30" s="16" t="n">
        <v>0.015</v>
      </c>
      <c r="Q30" s="16" t="n">
        <v>0.004</v>
      </c>
      <c r="R30" s="11" t="inlineStr">
        <is>
          <t>МСК 11.8%, Казань 7%, Краснодар 6%</t>
        </is>
      </c>
      <c r="S30" s="11" t="inlineStr">
        <is>
          <t>Подарочные сертификаты, чехлы, канцелярия</t>
        </is>
      </c>
      <c r="T30" s="11" t="inlineStr">
        <is>
          <t>М+Ж 25–44</t>
        </is>
      </c>
      <c r="U30" s="11" t="inlineStr">
        <is>
          <t>Родители; чек низкий. Под праздники — техника в подарок</t>
        </is>
      </c>
    </row>
    <row r="31" ht="42" customHeight="1">
      <c r="A31" s="5" t="inlineStr">
        <is>
          <t>БАДы и витамины</t>
        </is>
      </c>
      <c r="B31" s="11" t="inlineStr">
        <is>
          <t>Тренажёры</t>
        </is>
      </c>
      <c r="C31" s="21" t="inlineStr">
        <is>
          <t>Размещение</t>
        </is>
      </c>
      <c r="D31" s="26" t="n">
        <v>16045000</v>
      </c>
      <c r="E31" s="16" t="n">
        <v>0.472</v>
      </c>
      <c r="F31" s="16" t="n">
        <v>0.528</v>
      </c>
      <c r="G31" s="16" t="n">
        <v>0.638</v>
      </c>
      <c r="H31" s="16" t="n">
        <v>0.154</v>
      </c>
      <c r="I31" s="16" t="n">
        <v>0.327</v>
      </c>
      <c r="J31" s="16" t="n">
        <v>0.32</v>
      </c>
      <c r="K31" s="16" t="n">
        <v>0.132</v>
      </c>
      <c r="L31" s="16" t="n">
        <v>0.064</v>
      </c>
      <c r="M31" s="16" t="n">
        <v>0.391</v>
      </c>
      <c r="N31" s="16" t="n">
        <v>0.4970000000000001</v>
      </c>
      <c r="O31" s="16" t="n">
        <v>0.105</v>
      </c>
      <c r="P31" s="16" t="n">
        <v>0.006</v>
      </c>
      <c r="Q31" s="16" t="n">
        <v>0.001</v>
      </c>
      <c r="R31" s="11" t="inlineStr">
        <is>
          <t>МСК 15.5%, Казань 9%, Краснодар 8.1%</t>
        </is>
      </c>
      <c r="S31" s="11" t="inlineStr">
        <is>
          <t>Моющие, косметика</t>
        </is>
      </c>
      <c r="T31" s="11" t="inlineStr">
        <is>
          <t>Ж 25–44</t>
        </is>
      </c>
      <c r="U31" s="11" t="inlineStr">
        <is>
          <t>ЗОЖ-аудитория, большая — для тренажёров с таргетом Ж 25–44</t>
        </is>
      </c>
    </row>
    <row r="32" ht="42" customHeight="1">
      <c r="A32" s="5" t="inlineStr">
        <is>
          <t>Снеки, суперфуды, сухие завтраки</t>
        </is>
      </c>
      <c r="B32" s="11" t="inlineStr">
        <is>
          <t>Тренажёры</t>
        </is>
      </c>
      <c r="C32" s="21" t="inlineStr">
        <is>
          <t>Размещение</t>
        </is>
      </c>
      <c r="D32" s="26" t="n">
        <v>14463000</v>
      </c>
      <c r="E32" s="16" t="n">
        <v>0.522</v>
      </c>
      <c r="F32" s="16" t="n">
        <v>0.478</v>
      </c>
      <c r="G32" s="16" t="n">
        <v>0.6459999999999999</v>
      </c>
      <c r="H32" s="16" t="n">
        <v>0.173</v>
      </c>
      <c r="I32" s="16" t="n">
        <v>0.322</v>
      </c>
      <c r="J32" s="16" t="n">
        <v>0.31</v>
      </c>
      <c r="K32" s="16" t="n">
        <v>0.129</v>
      </c>
      <c r="L32" s="16" t="n">
        <v>0.062</v>
      </c>
      <c r="M32" s="16" t="n">
        <v>0.374</v>
      </c>
      <c r="N32" s="16" t="n">
        <v>0.496</v>
      </c>
      <c r="O32" s="16" t="n">
        <v>0.118</v>
      </c>
      <c r="P32" s="16" t="n">
        <v>0.01</v>
      </c>
      <c r="Q32" s="16" t="n">
        <v>0.002</v>
      </c>
      <c r="R32" s="11" t="inlineStr">
        <is>
          <t>МСК 20%, Казань 9.5%, Краснодар 8.3%</t>
        </is>
      </c>
      <c r="S32" s="11" t="inlineStr">
        <is>
          <t>Подарочные сертификаты, моющие</t>
        </is>
      </c>
      <c r="T32" s="11" t="inlineStr">
        <is>
          <t>М+Ж 25–44, Москва</t>
        </is>
      </c>
      <c r="U32" s="11" t="inlineStr">
        <is>
          <t>Москва 20% — совпадает с покупателем тренажёров</t>
        </is>
      </c>
    </row>
    <row r="33" ht="42" customHeight="1">
      <c r="A33" s="5" t="inlineStr">
        <is>
          <t>Массажёры электрические</t>
        </is>
      </c>
      <c r="B33" s="11" t="inlineStr">
        <is>
          <t>Тренажёры, пылесосы</t>
        </is>
      </c>
      <c r="C33" s="21" t="inlineStr">
        <is>
          <t>Размещение</t>
        </is>
      </c>
      <c r="D33" s="26" t="n">
        <v>3596000</v>
      </c>
      <c r="E33" s="16" t="n">
        <v>0.468</v>
      </c>
      <c r="F33" s="16" t="n">
        <v>0.532</v>
      </c>
      <c r="G33" s="16" t="n">
        <v>0.602</v>
      </c>
      <c r="H33" s="16" t="n">
        <v>0.146</v>
      </c>
      <c r="I33" s="16" t="n">
        <v>0.325</v>
      </c>
      <c r="J33" s="16" t="n">
        <v>0.331</v>
      </c>
      <c r="K33" s="16" t="n">
        <v>0.137</v>
      </c>
      <c r="L33" s="16" t="n">
        <v>0.058</v>
      </c>
      <c r="M33" s="16" t="n">
        <v>0.425</v>
      </c>
      <c r="N33" s="16" t="n">
        <v>0.464</v>
      </c>
      <c r="O33" s="16" t="n">
        <v>0.103</v>
      </c>
      <c r="P33" s="16" t="n">
        <v>0.006999999999999999</v>
      </c>
      <c r="Q33" s="16" t="n">
        <v>0.001</v>
      </c>
      <c r="R33" s="11" t="inlineStr">
        <is>
          <t>МСК 13.1%, Казань 10.4%, Екатеринбург 8.7%</t>
        </is>
      </c>
      <c r="S33" s="11" t="inlineStr">
        <is>
          <t>Моющие, косметика</t>
        </is>
      </c>
      <c r="T33" s="11" t="inlineStr">
        <is>
          <t>М+Ж 25–44</t>
        </is>
      </c>
      <c r="U33" s="11" t="inlineStr">
        <is>
          <t>Восстановление после тренировок; чек ниже</t>
        </is>
      </c>
    </row>
    <row r="34" ht="42" customHeight="1">
      <c r="A34" s="5" t="inlineStr">
        <is>
          <t>Легинсы</t>
        </is>
      </c>
      <c r="B34" s="11" t="inlineStr">
        <is>
          <t>Тренажёры</t>
        </is>
      </c>
      <c r="C34" s="21" t="inlineStr">
        <is>
          <t>Размещение</t>
        </is>
      </c>
      <c r="D34" s="26" t="n">
        <v>5242000</v>
      </c>
      <c r="E34" s="16" t="n">
        <v>0.286</v>
      </c>
      <c r="F34" s="16" t="n">
        <v>0.715</v>
      </c>
      <c r="G34" s="16" t="n">
        <v>0.645</v>
      </c>
      <c r="H34" s="16" t="n">
        <v>0.169</v>
      </c>
      <c r="I34" s="16" t="n">
        <v>0.404</v>
      </c>
      <c r="J34" s="16" t="n">
        <v>0.312</v>
      </c>
      <c r="K34" s="16" t="n">
        <v>0.08</v>
      </c>
      <c r="L34" s="16" t="n">
        <v>0.032</v>
      </c>
      <c r="M34" s="16" t="n">
        <v>0.416</v>
      </c>
      <c r="N34" s="16" t="n">
        <v>0.484</v>
      </c>
      <c r="O34" s="16" t="n">
        <v>0.095</v>
      </c>
      <c r="P34" s="16" t="n">
        <v>0.005</v>
      </c>
      <c r="Q34" s="16" t="n">
        <v>0.001</v>
      </c>
      <c r="R34" s="11" t="inlineStr">
        <is>
          <t>МСК 12.3%, Казань 10.2%, Екатеринбург 9.1%</t>
        </is>
      </c>
      <c r="S34" s="11" t="inlineStr">
        <is>
          <t>Моющие, косметика</t>
        </is>
      </c>
      <c r="T34" s="11" t="inlineStr">
        <is>
          <t>Ж 25–34</t>
        </is>
      </c>
      <c r="U34" s="11" t="inlineStr">
        <is>
          <t>Женщины 25–34 (40%) — для тренажёров, креатив «тренировки дома»</t>
        </is>
      </c>
    </row>
    <row r="35" ht="42" customHeight="1">
      <c r="A35" s="5" t="inlineStr">
        <is>
          <t>Косметика для ухода</t>
        </is>
      </c>
      <c r="B35" s="11" t="inlineStr">
        <is>
          <t>Тренажёры</t>
        </is>
      </c>
      <c r="C35" s="20" t="inlineStr">
        <is>
          <t>Аудитория</t>
        </is>
      </c>
      <c r="D35" s="26" t="n">
        <v>27241000</v>
      </c>
      <c r="E35" s="16" t="n">
        <v>0.388</v>
      </c>
      <c r="F35" s="16" t="n">
        <v>0.612</v>
      </c>
      <c r="G35" s="16" t="n">
        <v>0.603</v>
      </c>
      <c r="H35" s="16" t="n">
        <v>0.19</v>
      </c>
      <c r="I35" s="16" t="n">
        <v>0.318</v>
      </c>
      <c r="J35" s="16" t="n">
        <v>0.304</v>
      </c>
      <c r="K35" s="16" t="n">
        <v>0.123</v>
      </c>
      <c r="L35" s="16" t="n">
        <v>0.06</v>
      </c>
      <c r="M35" s="16" t="n">
        <v>0.422</v>
      </c>
      <c r="N35" s="16" t="n">
        <v>0.469</v>
      </c>
      <c r="O35" s="16" t="n">
        <v>0.1</v>
      </c>
      <c r="P35" s="16" t="n">
        <v>0.006999999999999999</v>
      </c>
      <c r="Q35" s="16" t="n">
        <v>0.002</v>
      </c>
      <c r="R35" s="11" t="inlineStr">
        <is>
          <t>МСК 14.5%, Казань 9.5%, Екатеринбург 7.9%</t>
        </is>
      </c>
      <c r="S35" s="11" t="inlineStr">
        <is>
          <t>Моющие, косметика для волос</t>
        </is>
      </c>
      <c r="T35" s="11" t="inlineStr">
        <is>
          <t>Ж 25–44</t>
        </is>
      </c>
      <c r="U35" s="11" t="inlineStr">
        <is>
          <t>Огромная женская аудитория, чек низкий — только с узким таргетом</t>
        </is>
      </c>
    </row>
    <row r="36" ht="42" customHeight="1">
      <c r="A36" s="5" t="inlineStr">
        <is>
          <t>Косметика для волос</t>
        </is>
      </c>
      <c r="B36" s="11" t="inlineStr">
        <is>
          <t>Тренажёры</t>
        </is>
      </c>
      <c r="C36" s="20" t="inlineStr">
        <is>
          <t>Аудитория</t>
        </is>
      </c>
      <c r="D36" s="26" t="n">
        <v>24694000</v>
      </c>
      <c r="E36" s="16" t="n">
        <v>0.393</v>
      </c>
      <c r="F36" s="16" t="n">
        <v>0.607</v>
      </c>
      <c r="G36" s="16" t="n">
        <v>0.62</v>
      </c>
      <c r="H36" s="16" t="n">
        <v>0.198</v>
      </c>
      <c r="I36" s="16" t="n">
        <v>0.33</v>
      </c>
      <c r="J36" s="16" t="n">
        <v>0.305</v>
      </c>
      <c r="K36" s="16" t="n">
        <v>0.113</v>
      </c>
      <c r="L36" s="16" t="n">
        <v>0.05</v>
      </c>
      <c r="M36" s="16" t="n">
        <v>0.407</v>
      </c>
      <c r="N36" s="16" t="n">
        <v>0.481</v>
      </c>
      <c r="O36" s="16" t="n">
        <v>0.104</v>
      </c>
      <c r="P36" s="16" t="n">
        <v>0.006999999999999999</v>
      </c>
      <c r="Q36" s="16" t="n">
        <v>0.002</v>
      </c>
      <c r="R36" s="11" t="inlineStr">
        <is>
          <t>МСК 15.1%, Казань 9.6%, Екатеринбург 8%</t>
        </is>
      </c>
      <c r="S36" s="11" t="inlineStr">
        <is>
          <t>Моющие, косметика</t>
        </is>
      </c>
      <c r="T36" s="11" t="inlineStr">
        <is>
          <t>Ж 25–44</t>
        </is>
      </c>
      <c r="U36" s="11" t="inlineStr">
        <is>
          <t>Как косметика для ухода</t>
        </is>
      </c>
    </row>
    <row r="37" ht="42" customHeight="1">
      <c r="A37" s="5" t="inlineStr">
        <is>
          <t>Мебель для кухни</t>
        </is>
      </c>
      <c r="B37" s="11" t="inlineStr">
        <is>
          <t>Паровая швабра 7в1</t>
        </is>
      </c>
      <c r="C37" s="20" t="inlineStr">
        <is>
          <t>Аудитория</t>
        </is>
      </c>
      <c r="D37" s="26" t="n">
        <v>676000</v>
      </c>
      <c r="E37" s="16" t="n">
        <v>0.491</v>
      </c>
      <c r="F37" s="16" t="n">
        <v>0.509</v>
      </c>
      <c r="G37" s="16" t="n">
        <v>0.665</v>
      </c>
      <c r="H37" s="16" t="n">
        <v>0.134</v>
      </c>
      <c r="I37" s="16" t="n">
        <v>0.344</v>
      </c>
      <c r="J37" s="16" t="n">
        <v>0.333</v>
      </c>
      <c r="K37" s="16" t="n">
        <v>0.135</v>
      </c>
      <c r="L37" s="16" t="n">
        <v>0.053</v>
      </c>
      <c r="M37" s="16" t="n">
        <v>0.222</v>
      </c>
      <c r="N37" s="16" t="n">
        <v>0.542</v>
      </c>
      <c r="O37" s="16" t="n">
        <v>0.211</v>
      </c>
      <c r="P37" s="16" t="n">
        <v>0.022</v>
      </c>
      <c r="Q37" s="16" t="n">
        <v>0.004</v>
      </c>
      <c r="R37" s="11" t="inlineStr">
        <is>
          <t>Москва и МО 15%, Казань 10%, Екатеринбург 9%</t>
        </is>
      </c>
      <c r="S37" s="11" t="inlineStr">
        <is>
          <t>—</t>
        </is>
      </c>
      <c r="T37" s="11" t="inlineStr">
        <is>
          <t>Ж 51% / М 49%, 25–44 (68%)</t>
        </is>
      </c>
      <c r="U37" s="11" t="inlineStr">
        <is>
          <t>Обновили кухню — хотят сохранить её как новую: жир на плите, плитка, пол. Чек выше среднего (3–10 тыс. у 21%)</t>
        </is>
      </c>
    </row>
    <row r="38" ht="42" customHeight="1">
      <c r="A38" s="5" t="inlineStr">
        <is>
          <t>Подгузники и гигиена</t>
        </is>
      </c>
      <c r="B38" s="11" t="inlineStr">
        <is>
          <t>Паровая швабра 7в1</t>
        </is>
      </c>
      <c r="C38" s="20" t="inlineStr">
        <is>
          <t>Аудитория</t>
        </is>
      </c>
      <c r="D38" s="26" t="n">
        <v>3326000</v>
      </c>
      <c r="E38" s="16" t="n">
        <v>0.386</v>
      </c>
      <c r="F38" s="16" t="n">
        <v>0.614</v>
      </c>
      <c r="G38" s="16" t="n">
        <v>0.674</v>
      </c>
      <c r="H38" s="16" t="n">
        <v>0.204</v>
      </c>
      <c r="I38" s="16" t="n">
        <v>0.498</v>
      </c>
      <c r="J38" s="16" t="n">
        <v>0.215</v>
      </c>
      <c r="K38" s="16" t="n">
        <v>0.05599999999999999</v>
      </c>
      <c r="L38" s="16" t="n">
        <v>0.025</v>
      </c>
      <c r="M38" s="16" t="n">
        <v>0.366</v>
      </c>
      <c r="N38" s="16" t="n">
        <v>0.519</v>
      </c>
      <c r="O38" s="16" t="n">
        <v>0.107</v>
      </c>
      <c r="P38" s="16" t="n">
        <v>0.006999999999999999</v>
      </c>
      <c r="Q38" s="16" t="n">
        <v>0.001</v>
      </c>
      <c r="R38" s="11" t="inlineStr">
        <is>
          <t>Москва и МО 17%, Казань 11%, Краснодар 9%</t>
        </is>
      </c>
      <c r="S38" s="11" t="inlineStr">
        <is>
          <t>—</t>
        </is>
      </c>
      <c r="T38" s="11" t="inlineStr">
        <is>
          <t>Ж 61% / М 39%, 25–34 (50%) — молодые родители</t>
        </is>
      </c>
      <c r="U38" s="11" t="inlineStr">
        <is>
          <t>Малыш ползает по полу — нужна чистота без химии. Самая молодая аудитория</t>
        </is>
      </c>
    </row>
    <row r="39" ht="42" customHeight="1">
      <c r="A39" s="5" t="inlineStr">
        <is>
          <t>Диваны и кресла</t>
        </is>
      </c>
      <c r="B39" s="11" t="inlineStr">
        <is>
          <t>Компактный моющий пылесос</t>
        </is>
      </c>
      <c r="C39" s="20" t="inlineStr">
        <is>
          <t>Аудитория</t>
        </is>
      </c>
      <c r="D39" s="26" t="n">
        <v>1211000</v>
      </c>
      <c r="E39" s="16" t="n">
        <v>0.484</v>
      </c>
      <c r="F39" s="16" t="n">
        <v>0.516</v>
      </c>
      <c r="G39" s="16" t="n">
        <v>0.6850000000000001</v>
      </c>
      <c r="H39" s="16" t="n">
        <v>0.125</v>
      </c>
      <c r="I39" s="16" t="n">
        <v>0.358</v>
      </c>
      <c r="J39" s="16" t="n">
        <v>0.342</v>
      </c>
      <c r="K39" s="16" t="n">
        <v>0.124</v>
      </c>
      <c r="L39" s="16" t="n">
        <v>0.049</v>
      </c>
      <c r="M39" s="16" t="n">
        <v>0.162</v>
      </c>
      <c r="N39" s="16" t="n">
        <v>0.537</v>
      </c>
      <c r="O39" s="16" t="n">
        <v>0.258</v>
      </c>
      <c r="P39" s="16" t="n">
        <v>0.035</v>
      </c>
      <c r="Q39" s="16" t="n">
        <v>0.006999999999999999</v>
      </c>
      <c r="R39" s="11" t="inlineStr">
        <is>
          <t>Москва и МО 18%, Казань 10%, Екатеринбург 9%</t>
        </is>
      </c>
      <c r="S39" s="11" t="inlineStr">
        <is>
          <t>—</t>
        </is>
      </c>
      <c r="T39" s="11" t="inlineStr">
        <is>
          <t>Ж 52% / М 48%, 25–44 (70%)</t>
        </is>
      </c>
      <c r="U39" s="11" t="inlineStr">
        <is>
          <t>Купили новую мебель — боятся пятен. Платёжеспособные (чек 3–10 тыс. у 26%), много Москвы</t>
        </is>
      </c>
    </row>
    <row r="40" ht="42" customHeight="1">
      <c r="A40" s="5" t="inlineStr">
        <is>
          <t>Держатели и запчасти для швабр</t>
        </is>
      </c>
      <c r="B40" s="11" t="inlineStr">
        <is>
          <t>Паровая швабра 7в1</t>
        </is>
      </c>
      <c r="C40" s="21" t="inlineStr">
        <is>
          <t>Размещение</t>
        </is>
      </c>
      <c r="D40" s="26" t="n">
        <v>436000</v>
      </c>
      <c r="E40" s="16" t="n">
        <v>0.477</v>
      </c>
      <c r="F40" s="16" t="n">
        <v>0.524</v>
      </c>
      <c r="G40" s="16" t="n">
        <v>0.674</v>
      </c>
      <c r="H40" s="16" t="n">
        <v>0.073</v>
      </c>
      <c r="I40" s="16" t="n">
        <v>0.248</v>
      </c>
      <c r="J40" s="16" t="n">
        <v>0.356</v>
      </c>
      <c r="K40" s="16" t="n">
        <v>0.213</v>
      </c>
      <c r="L40" s="16" t="n">
        <v>0.11</v>
      </c>
      <c r="M40" s="16" t="n">
        <v>0.416</v>
      </c>
      <c r="N40" s="16" t="n">
        <v>0.453</v>
      </c>
      <c r="O40" s="16" t="n">
        <v>0.116</v>
      </c>
      <c r="P40" s="16" t="n">
        <v>0.014</v>
      </c>
      <c r="Q40" s="16" t="n">
        <v>0.002</v>
      </c>
      <c r="R40" s="11" t="inlineStr">
        <is>
          <t>Москва и МО 18%, Казань 10%, СПб 9%</t>
        </is>
      </c>
      <c r="S40" s="11" t="inlineStr">
        <is>
          <t>—</t>
        </is>
      </c>
      <c r="T40" s="11" t="inlineStr">
        <is>
          <t>Ж 52% / М 48%, 35–54 (57%) — старше</t>
        </is>
      </c>
      <c r="U40" s="11" t="inlineStr">
        <is>
          <t>Уже моют пол обычной шваброй — устали от тряпок и вёдер. Взрослая аудитория</t>
        </is>
      </c>
    </row>
    <row r="41" ht="42" customHeight="1">
      <c r="A41" s="5" t="inlineStr">
        <is>
          <t>Садовый декор и теплицы</t>
        </is>
      </c>
      <c r="B41" s="11" t="inlineStr">
        <is>
          <t>Аэрогриль</t>
        </is>
      </c>
      <c r="C41" s="20" t="inlineStr">
        <is>
          <t>Аудитория</t>
        </is>
      </c>
      <c r="D41" s="26" t="n">
        <v>7581000</v>
      </c>
      <c r="E41" s="16" t="n">
        <v>0.674</v>
      </c>
      <c r="F41" s="16" t="n">
        <v>0.326</v>
      </c>
      <c r="G41" s="16" t="n">
        <v>1</v>
      </c>
      <c r="H41" s="16" t="n">
        <v>0.197</v>
      </c>
      <c r="I41" s="16" t="n">
        <v>0.34</v>
      </c>
      <c r="J41" s="16" t="n">
        <v>0.298</v>
      </c>
      <c r="K41" s="16" t="n">
        <v>0.112</v>
      </c>
      <c r="L41" s="16" t="n">
        <v>0.049</v>
      </c>
      <c r="M41" s="16" t="n">
        <v>0.353</v>
      </c>
      <c r="N41" s="16" t="n">
        <v>0.512</v>
      </c>
      <c r="O41" s="16" t="n">
        <v>0.124</v>
      </c>
      <c r="P41" s="16" t="n">
        <v>0.01</v>
      </c>
      <c r="Q41" s="16" t="n">
        <v>0.002</v>
      </c>
      <c r="R41" s="11" t="inlineStr">
        <is>
          <t>Москва и МО 25%, Казань 13%, Екатеринбург 11%</t>
        </is>
      </c>
      <c r="S41" s="11" t="inlineStr">
        <is>
          <t>—</t>
        </is>
      </c>
      <c r="T41" s="11" t="inlineStr">
        <is>
          <t>М 67% / Ж 33% (данные нетипичны), 18–44 (84%)</t>
        </is>
      </c>
      <c r="U41" s="11" t="inlineStr">
        <is>
          <t>Дачники: на даче нет духовки. Внимание: пол определён у 100% — данные Ozon нетипичны, пол лучше не фильтровать</t>
        </is>
      </c>
    </row>
    <row r="42" ht="42" customHeight="1">
      <c r="A42" s="5" t="inlineStr">
        <is>
          <t>Детские товары</t>
        </is>
      </c>
      <c r="B42" s="11" t="inlineStr">
        <is>
          <t>Аэрогриль</t>
        </is>
      </c>
      <c r="C42" s="20" t="inlineStr">
        <is>
          <t>Аудитория</t>
        </is>
      </c>
      <c r="D42" s="26" t="n">
        <v>24501000</v>
      </c>
      <c r="E42" s="16" t="n">
        <v>0.482</v>
      </c>
      <c r="F42" s="16" t="n">
        <v>0.518</v>
      </c>
      <c r="G42" s="16" t="n">
        <v>0.609</v>
      </c>
      <c r="H42" s="16" t="n">
        <v>0.183</v>
      </c>
      <c r="I42" s="16" t="n">
        <v>0.388</v>
      </c>
      <c r="J42" s="16" t="n">
        <v>0.302</v>
      </c>
      <c r="K42" s="16" t="n">
        <v>0.08500000000000001</v>
      </c>
      <c r="L42" s="16" t="n">
        <v>0.03700000000000001</v>
      </c>
      <c r="M42" s="16" t="n">
        <v>0.38</v>
      </c>
      <c r="N42" s="16" t="n">
        <v>0.494</v>
      </c>
      <c r="O42" s="16" t="n">
        <v>0.115</v>
      </c>
      <c r="P42" s="16" t="n">
        <v>0.009000000000000001</v>
      </c>
      <c r="Q42" s="16" t="n">
        <v>0.002</v>
      </c>
      <c r="R42" s="11" t="inlineStr">
        <is>
          <t>Москва и МО 15%, Казань 10%, Екатеринбург 8%</t>
        </is>
      </c>
      <c r="S42" s="11" t="inlineStr">
        <is>
          <t>—</t>
        </is>
      </c>
      <c r="T42" s="11" t="inlineStr">
        <is>
          <t>Ж 52% / М 48%, 25–34 (39%)</t>
        </is>
      </c>
      <c r="U42" s="11" t="inlineStr">
        <is>
          <t>Родители: что приготовить ребёнку быстро и полезно. Огромная аудитория (24,5 млн) — сужать: Ж 25–44</t>
        </is>
      </c>
    </row>
    <row r="43" ht="42" customHeight="1">
      <c r="A43" s="5" t="inlineStr">
        <is>
          <t>Фитнес и йога</t>
        </is>
      </c>
      <c r="B43" s="11" t="inlineStr">
        <is>
          <t>Аэрогриль, виброплатформа</t>
        </is>
      </c>
      <c r="C43" s="20" t="inlineStr">
        <is>
          <t>Аудитория</t>
        </is>
      </c>
      <c r="D43" s="26" t="n">
        <v>7829000</v>
      </c>
      <c r="E43" s="16" t="n">
        <v>0.708</v>
      </c>
      <c r="F43" s="16" t="n">
        <v>0.292</v>
      </c>
      <c r="G43" s="16" t="n">
        <v>1</v>
      </c>
      <c r="H43" s="16" t="n">
        <v>0.198</v>
      </c>
      <c r="I43" s="16" t="n">
        <v>0.36</v>
      </c>
      <c r="J43" s="16" t="n">
        <v>0.295</v>
      </c>
      <c r="K43" s="16" t="n">
        <v>0.103</v>
      </c>
      <c r="L43" s="16" t="n">
        <v>0.04099999999999999</v>
      </c>
      <c r="M43" s="16" t="n">
        <v>0.328</v>
      </c>
      <c r="N43" s="16" t="n">
        <v>0.525</v>
      </c>
      <c r="O43" s="16" t="n">
        <v>0.134</v>
      </c>
      <c r="P43" s="16" t="n">
        <v>0.011</v>
      </c>
      <c r="Q43" s="16" t="n">
        <v>0.002</v>
      </c>
      <c r="R43" s="11" t="inlineStr">
        <is>
          <t>Москва и МО 33%, Казань 17%, Екатеринбург 15%</t>
        </is>
      </c>
      <c r="S43" s="11" t="inlineStr">
        <is>
          <t>—</t>
        </is>
      </c>
      <c r="T43" s="11" t="inlineStr">
        <is>
          <t>М 71% / Ж 29% (данные нетипичны), 25–34 (36%)</t>
        </is>
      </c>
      <c r="U43" s="11" t="inlineStr">
        <is>
          <t>ЗОЖ: правильное питание и тонус. Пол определён у 100% — данные нетипичны, пол лучше не фильтровать</t>
        </is>
      </c>
    </row>
    <row r="44" ht="42" customHeight="1">
      <c r="A44" s="5" t="inlineStr">
        <is>
          <t>Аксессуары для приготовления пищи</t>
        </is>
      </c>
      <c r="B44" s="11" t="inlineStr">
        <is>
          <t>Аэрогриль</t>
        </is>
      </c>
      <c r="C44" s="21" t="inlineStr">
        <is>
          <t>Размещение</t>
        </is>
      </c>
      <c r="D44" s="26" t="n">
        <v>24634000</v>
      </c>
      <c r="E44" s="16" t="n">
        <v>0.602</v>
      </c>
      <c r="F44" s="16" t="n">
        <v>0.398</v>
      </c>
      <c r="G44" s="16" t="n">
        <v>0.522</v>
      </c>
      <c r="H44" s="16" t="n">
        <v>0.201</v>
      </c>
      <c r="I44" s="16" t="n">
        <v>0.318</v>
      </c>
      <c r="J44" s="16" t="n">
        <v>0.297</v>
      </c>
      <c r="K44" s="16" t="n">
        <v>0.124</v>
      </c>
      <c r="L44" s="16" t="n">
        <v>0.05400000000000001</v>
      </c>
      <c r="M44" s="16" t="n">
        <v>0.413</v>
      </c>
      <c r="N44" s="16" t="n">
        <v>0.446</v>
      </c>
      <c r="O44" s="16" t="n">
        <v>0.122</v>
      </c>
      <c r="P44" s="16" t="n">
        <v>0.015</v>
      </c>
      <c r="Q44" s="16" t="n">
        <v>0.004</v>
      </c>
      <c r="R44" s="11" t="inlineStr">
        <is>
          <t>Москва и МО 11%, Казань 6%, Екатеринбург 5%</t>
        </is>
      </c>
      <c r="S44" s="11" t="inlineStr">
        <is>
          <t>—</t>
        </is>
      </c>
      <c r="T44" s="11" t="inlineStr">
        <is>
          <t>М 60% / Ж 40%, 18–44 (82%)</t>
        </is>
      </c>
      <c r="U44" s="11" t="inlineStr">
        <is>
          <t>Любят готовить, ищут новые идеи. Огромная (24,6 млн) и экономная — только узкий таргет</t>
        </is>
      </c>
    </row>
    <row r="45" ht="42" customHeight="1">
      <c r="A45" s="5" t="inlineStr">
        <is>
          <t>Спортивное питание</t>
        </is>
      </c>
      <c r="B45" s="11" t="inlineStr">
        <is>
          <t>Виброплатформа</t>
        </is>
      </c>
      <c r="C45" s="20" t="inlineStr">
        <is>
          <t>Аудитория</t>
        </is>
      </c>
      <c r="D45" s="26" t="n">
        <v>5861000</v>
      </c>
      <c r="E45" s="16" t="n">
        <v>0.6940000000000001</v>
      </c>
      <c r="F45" s="16" t="n">
        <v>0.306</v>
      </c>
      <c r="G45" s="16" t="n">
        <v>1</v>
      </c>
      <c r="H45" s="16" t="n">
        <v>0.198</v>
      </c>
      <c r="I45" s="16" t="n">
        <v>0.376</v>
      </c>
      <c r="J45" s="16" t="n">
        <v>0.298</v>
      </c>
      <c r="K45" s="16" t="n">
        <v>0.092</v>
      </c>
      <c r="L45" s="16" t="n">
        <v>0.034</v>
      </c>
      <c r="M45" s="16" t="n">
        <v>0.326</v>
      </c>
      <c r="N45" s="16" t="n">
        <v>0.527</v>
      </c>
      <c r="O45" s="16" t="n">
        <v>0.136</v>
      </c>
      <c r="P45" s="16" t="n">
        <v>0.01</v>
      </c>
      <c r="Q45" s="16" t="n">
        <v>0.002</v>
      </c>
      <c r="R45" s="11" t="inlineStr">
        <is>
          <t>Москва и МО 23%, Казань 11%, Екатеринбург 9%</t>
        </is>
      </c>
      <c r="S45" s="11" t="inlineStr">
        <is>
          <t>—</t>
        </is>
      </c>
      <c r="T45" s="11" t="inlineStr">
        <is>
          <t>М 69% / Ж 31% (данные нетипичны), 25–34 (38%)</t>
        </is>
      </c>
      <c r="U45" s="11" t="inlineStr">
        <is>
          <t>Следят за формой, тренируются. Пол определён у 100% — данные нетипичны; для виброплатформы сужать на Ж 25–44</t>
        </is>
      </c>
    </row>
    <row r="46" ht="42" customHeight="1">
      <c r="A46" s="5" t="inlineStr">
        <is>
          <t>Средство антицеллюлитное</t>
        </is>
      </c>
      <c r="B46" s="11" t="inlineStr">
        <is>
          <t>Виброплатформа</t>
        </is>
      </c>
      <c r="C46" s="20" t="inlineStr">
        <is>
          <t>Аудитория</t>
        </is>
      </c>
      <c r="D46" s="26" t="n">
        <v>754000</v>
      </c>
      <c r="E46" s="16" t="n">
        <v>0.292</v>
      </c>
      <c r="F46" s="16" t="n">
        <v>0.7090000000000001</v>
      </c>
      <c r="G46" s="16" t="n">
        <v>0.574</v>
      </c>
      <c r="H46" s="16" t="n">
        <v>0.146</v>
      </c>
      <c r="I46" s="16" t="n">
        <v>0.335</v>
      </c>
      <c r="J46" s="16" t="n">
        <v>0.336</v>
      </c>
      <c r="K46" s="16" t="n">
        <v>0.131</v>
      </c>
      <c r="L46" s="16" t="n">
        <v>0.049</v>
      </c>
      <c r="M46" s="16" t="n">
        <v>0.444</v>
      </c>
      <c r="N46" s="16" t="n">
        <v>0.452</v>
      </c>
      <c r="O46" s="16" t="n">
        <v>0.09699999999999999</v>
      </c>
      <c r="P46" s="16" t="n">
        <v>0.006999999999999999</v>
      </c>
      <c r="Q46" s="16" t="n">
        <v>0.002</v>
      </c>
      <c r="R46" s="11" t="inlineStr">
        <is>
          <t>Москва и МО 13%, Казань 9%, Екатеринбург 8%</t>
        </is>
      </c>
      <c r="S46" s="11" t="inlineStr">
        <is>
          <t>—</t>
        </is>
      </c>
      <c r="T46" s="11" t="inlineStr">
        <is>
          <t>Ж 71% / М 29%, 25–44 (67%)</t>
        </is>
      </c>
      <c r="U46" s="11" t="inlineStr">
        <is>
          <t>Работают над телом «снаружи» — предложить домашнюю тренировку. Без медицинских обещаний</t>
        </is>
      </c>
    </row>
    <row r="47" ht="42" customHeight="1">
      <c r="A47" s="5" t="inlineStr">
        <is>
          <t>Напольные весы</t>
        </is>
      </c>
      <c r="B47" s="11" t="inlineStr">
        <is>
          <t>Виброплатформа</t>
        </is>
      </c>
      <c r="C47" s="20" t="inlineStr">
        <is>
          <t>Аудитория</t>
        </is>
      </c>
      <c r="D47" s="26" t="n">
        <v>1306000</v>
      </c>
      <c r="E47" s="16" t="n">
        <v>0.535</v>
      </c>
      <c r="F47" s="16" t="n">
        <v>0.465</v>
      </c>
      <c r="G47" s="16" t="n">
        <v>0.6</v>
      </c>
      <c r="H47" s="16" t="n">
        <v>0.234</v>
      </c>
      <c r="I47" s="16" t="n">
        <v>0.321</v>
      </c>
      <c r="J47" s="16" t="n">
        <v>0.282</v>
      </c>
      <c r="K47" s="16" t="n">
        <v>0.109</v>
      </c>
      <c r="L47" s="16" t="n">
        <v>0.048</v>
      </c>
      <c r="M47" s="16" t="n">
        <v>0.34</v>
      </c>
      <c r="N47" s="16" t="n">
        <v>0.515</v>
      </c>
      <c r="O47" s="16" t="n">
        <v>0.135</v>
      </c>
      <c r="P47" s="16" t="n">
        <v>0.009000000000000001</v>
      </c>
      <c r="Q47" s="16" t="n">
        <v>0.001</v>
      </c>
      <c r="R47" s="11" t="inlineStr">
        <is>
          <t>Москва и МО 15%, Казань 10%, Екатеринбург 8%</t>
        </is>
      </c>
      <c r="S47" s="11" t="inlineStr">
        <is>
          <t>—</t>
        </is>
      </c>
      <c r="T47" s="11" t="inlineStr">
        <is>
          <t>М 54% / Ж 46%, 18–34 (56%)</t>
        </is>
      </c>
      <c r="U47" s="11" t="inlineStr">
        <is>
          <t>Следят за весом и хотят двигаться больше, но без зала</t>
        </is>
      </c>
    </row>
    <row r="48" ht="42" customHeight="1">
      <c r="A48" s="5" t="inlineStr">
        <is>
          <t>Фитнес-резинки</t>
        </is>
      </c>
      <c r="B48" s="11" t="inlineStr">
        <is>
          <t>Виброплатформа</t>
        </is>
      </c>
      <c r="C48" s="20" t="inlineStr">
        <is>
          <t>Аудитория</t>
        </is>
      </c>
      <c r="D48" s="26" t="n">
        <v>1800000</v>
      </c>
      <c r="E48" s="16" t="n">
        <v>0.506</v>
      </c>
      <c r="F48" s="16" t="n">
        <v>0.494</v>
      </c>
      <c r="G48" s="16" t="n">
        <v>0.6609999999999999</v>
      </c>
      <c r="H48" s="16" t="n">
        <v>0.184</v>
      </c>
      <c r="I48" s="16" t="n">
        <v>0.361</v>
      </c>
      <c r="J48" s="16" t="n">
        <v>0.319</v>
      </c>
      <c r="K48" s="16" t="n">
        <v>0.09300000000000001</v>
      </c>
      <c r="L48" s="16" t="n">
        <v>0.039</v>
      </c>
      <c r="M48" s="16" t="n">
        <v>0.348</v>
      </c>
      <c r="N48" s="16" t="n">
        <v>0.515</v>
      </c>
      <c r="O48" s="16" t="n">
        <v>0.128</v>
      </c>
      <c r="P48" s="16" t="n">
        <v>0.008</v>
      </c>
      <c r="Q48" s="16" t="n">
        <v>0.001</v>
      </c>
      <c r="R48" s="11" t="inlineStr">
        <is>
          <t>Москва и МО 16%, Казань 10%, Екатеринбург 9%</t>
        </is>
      </c>
      <c r="S48" s="11" t="inlineStr">
        <is>
          <t>—</t>
        </is>
      </c>
      <c r="T48" s="11" t="inlineStr">
        <is>
          <t>М 51% / Ж 49%, 25–44 (68%)</t>
        </is>
      </c>
      <c r="U48" s="11" t="inlineStr">
        <is>
          <t>Уже тренируются дома — дополнить домашний фитнес-комплект</t>
        </is>
      </c>
    </row>
    <row r="49" ht="42" customHeight="1">
      <c r="A49" s="5" t="inlineStr">
        <is>
          <t>Пояса и костюмы-сауны для похудения</t>
        </is>
      </c>
      <c r="B49" s="11" t="inlineStr">
        <is>
          <t>Виброплатформа</t>
        </is>
      </c>
      <c r="C49" s="20" t="inlineStr">
        <is>
          <t>Аудитория</t>
        </is>
      </c>
      <c r="D49" s="26" t="n">
        <v>390000</v>
      </c>
      <c r="E49" s="16" t="n">
        <v>0.461</v>
      </c>
      <c r="F49" s="16" t="n">
        <v>0.539</v>
      </c>
      <c r="G49" s="16" t="n">
        <v>0.4970000000000001</v>
      </c>
      <c r="H49" s="16" t="n">
        <v>0.129</v>
      </c>
      <c r="I49" s="16" t="n">
        <v>0.32</v>
      </c>
      <c r="J49" s="16" t="n">
        <v>0.358</v>
      </c>
      <c r="K49" s="16" t="n">
        <v>0.14</v>
      </c>
      <c r="L49" s="16" t="n">
        <v>0.05</v>
      </c>
      <c r="M49" s="16" t="n">
        <v>0.4379999999999999</v>
      </c>
      <c r="N49" s="16" t="n">
        <v>0.445</v>
      </c>
      <c r="O49" s="16" t="n">
        <v>0.109</v>
      </c>
      <c r="P49" s="16" t="n">
        <v>0.008</v>
      </c>
      <c r="Q49" s="16" t="n">
        <v>0.001</v>
      </c>
      <c r="R49" s="11" t="inlineStr">
        <is>
          <t>Москва и МО 11%, Казань 8%, Екатеринбург 8%</t>
        </is>
      </c>
      <c r="S49" s="11" t="inlineStr">
        <is>
          <t>—</t>
        </is>
      </c>
      <c r="T49" s="11" t="inlineStr">
        <is>
          <t>Ж 54% / М 46%, 25–44 (68%), больше всего 35–44</t>
        </is>
      </c>
      <c r="U49" s="11" t="inlineStr">
        <is>
          <t>Хотят изменить фигуру дома, без зала. Экономные. Без обещаний похудения — только про тренировки и тонус</t>
        </is>
      </c>
    </row>
    <row r="50" ht="42" customHeight="1">
      <c r="A50" s="5" t="inlineStr">
        <is>
          <t>Велотренажёры и беговые дорожки</t>
        </is>
      </c>
      <c r="B50" s="11" t="inlineStr">
        <is>
          <t>Виброплатформа</t>
        </is>
      </c>
      <c r="C50" s="20" t="inlineStr">
        <is>
          <t>Аудитория</t>
        </is>
      </c>
      <c r="D50" s="26" t="n">
        <v>333000</v>
      </c>
      <c r="E50" s="16" t="n">
        <v>0.5620000000000001</v>
      </c>
      <c r="F50" s="16" t="n">
        <v>0.4379999999999999</v>
      </c>
      <c r="G50" s="16" t="n">
        <v>0.6899999999999999</v>
      </c>
      <c r="H50" s="16" t="n">
        <v>0.171</v>
      </c>
      <c r="I50" s="16" t="n">
        <v>0.402</v>
      </c>
      <c r="J50" s="16" t="n">
        <v>0.291</v>
      </c>
      <c r="K50" s="16" t="n">
        <v>0.09699999999999999</v>
      </c>
      <c r="L50" s="16" t="n">
        <v>0.03700000000000001</v>
      </c>
      <c r="M50" s="16" t="n">
        <v>0.164</v>
      </c>
      <c r="N50" s="16" t="n">
        <v>0.5600000000000001</v>
      </c>
      <c r="O50" s="16" t="n">
        <v>0.246</v>
      </c>
      <c r="P50" s="16" t="n">
        <v>0.026</v>
      </c>
      <c r="Q50" s="16" t="n">
        <v>0.005</v>
      </c>
      <c r="R50" s="11" t="inlineStr">
        <is>
          <t>Москва и МО 15%, Казань 11%, Екатеринбург 10%</t>
        </is>
      </c>
      <c r="S50" s="11" t="inlineStr">
        <is>
          <t>—</t>
        </is>
      </c>
      <c r="T50" s="11" t="inlineStr">
        <is>
          <t>М 56% / Ж 44%, 25–34 (40%)</t>
        </is>
      </c>
      <c r="U50" s="11" t="inlineStr">
        <is>
          <t>Уже тренируются дома и платёжеспособные (чек 3–10 тыс. у 25%)</t>
        </is>
      </c>
    </row>
    <row r="51" ht="42" customHeight="1">
      <c r="A51" s="5" t="inlineStr">
        <is>
          <t>Холодильники</t>
        </is>
      </c>
      <c r="B51" s="11" t="inlineStr">
        <is>
          <t>Вертикальный пылесос, кофемашина</t>
        </is>
      </c>
      <c r="C51" s="20" t="inlineStr">
        <is>
          <t>Аудитория</t>
        </is>
      </c>
      <c r="D51" s="26" t="n">
        <v>932000</v>
      </c>
      <c r="E51" s="16" t="n">
        <v>0.5710000000000001</v>
      </c>
      <c r="F51" s="16" t="n">
        <v>0.43</v>
      </c>
      <c r="G51" s="16" t="n">
        <v>0.703</v>
      </c>
      <c r="H51" s="16" t="n">
        <v>0.114</v>
      </c>
      <c r="I51" s="16" t="n">
        <v>0.336</v>
      </c>
      <c r="J51" s="16" t="n">
        <v>0.359</v>
      </c>
      <c r="K51" s="16" t="n">
        <v>0.137</v>
      </c>
      <c r="L51" s="16" t="n">
        <v>0.053</v>
      </c>
      <c r="M51" s="16" t="n">
        <v>0.108</v>
      </c>
      <c r="N51" s="16" t="n">
        <v>0.513</v>
      </c>
      <c r="O51" s="16" t="n">
        <v>0.317</v>
      </c>
      <c r="P51" s="16" t="n">
        <v>0.051</v>
      </c>
      <c r="Q51" s="16" t="n">
        <v>0.011</v>
      </c>
      <c r="R51" s="11" t="inlineStr">
        <is>
          <t>Москва и МО 19%, Казань 11%, Екатеринбург 9%</t>
        </is>
      </c>
      <c r="S51" s="11" t="inlineStr">
        <is>
          <t>—</t>
        </is>
      </c>
      <c r="T51" s="11" t="inlineStr">
        <is>
          <t>М 57% / Ж 43%, 25–44 (70%)</t>
        </is>
      </c>
      <c r="U51" s="11" t="inlineStr">
        <is>
          <t>Обновляют технику дома — самая платёжеспособная аудитория (чек 3–10 тыс. у 32%, 10 тыс.+ у 6%)</t>
        </is>
      </c>
    </row>
    <row r="52" ht="42" customHeight="1">
      <c r="A52" s="5" t="inlineStr">
        <is>
          <t>Матрасы</t>
        </is>
      </c>
      <c r="B52" s="11" t="inlineStr">
        <is>
          <t>Компактный моющий пылесос</t>
        </is>
      </c>
      <c r="C52" s="20" t="inlineStr">
        <is>
          <t>Аудитория</t>
        </is>
      </c>
      <c r="D52" s="26" t="n">
        <v>2745000</v>
      </c>
      <c r="E52" s="16" t="n">
        <v>0.508</v>
      </c>
      <c r="F52" s="16" t="n">
        <v>0.492</v>
      </c>
      <c r="G52" s="16" t="n">
        <v>0.67</v>
      </c>
      <c r="H52" s="16" t="n">
        <v>0.142</v>
      </c>
      <c r="I52" s="16" t="n">
        <v>0.358</v>
      </c>
      <c r="J52" s="16" t="n">
        <v>0.33</v>
      </c>
      <c r="K52" s="16" t="n">
        <v>0.118</v>
      </c>
      <c r="L52" s="16" t="n">
        <v>0.049</v>
      </c>
      <c r="M52" s="16" t="n">
        <v>0.217</v>
      </c>
      <c r="N52" s="16" t="n">
        <v>0.5660000000000001</v>
      </c>
      <c r="O52" s="16" t="n">
        <v>0.198</v>
      </c>
      <c r="P52" s="16" t="n">
        <v>0.017</v>
      </c>
      <c r="Q52" s="16" t="n">
        <v>0.002</v>
      </c>
      <c r="R52" s="11" t="inlineStr">
        <is>
          <t>Москва и МО 17%, Казань 10%, Екатеринбург 9%</t>
        </is>
      </c>
      <c r="S52" s="11" t="inlineStr">
        <is>
          <t>—</t>
        </is>
      </c>
      <c r="T52" s="11" t="inlineStr">
        <is>
          <t>М 51% / Ж 49%, 25–44 (69%)</t>
        </is>
      </c>
      <c r="U52" s="11" t="inlineStr">
        <is>
          <t>Купили новый матрас — хотят сохранить его чистым</t>
        </is>
      </c>
    </row>
    <row r="53" ht="42" customHeight="1">
      <c r="A53" s="5" t="inlineStr">
        <is>
          <t>Бандаж для беременных</t>
        </is>
      </c>
      <c r="B53" s="11" t="inlineStr">
        <is>
          <t>Вертикальный пылесос</t>
        </is>
      </c>
      <c r="C53" s="20" t="inlineStr">
        <is>
          <t>Аудитория</t>
        </is>
      </c>
      <c r="D53" s="26" t="n">
        <v>122000</v>
      </c>
      <c r="E53" s="16" t="n">
        <v>0.362</v>
      </c>
      <c r="F53" s="16" t="n">
        <v>0.638</v>
      </c>
      <c r="G53" s="16" t="n">
        <v>0.6850000000000001</v>
      </c>
      <c r="H53" s="16" t="n">
        <v>0.316</v>
      </c>
      <c r="I53" s="16" t="n">
        <v>0.536</v>
      </c>
      <c r="J53" s="16" t="n">
        <v>0.125</v>
      </c>
      <c r="K53" s="16" t="n">
        <v>0.015</v>
      </c>
      <c r="L53" s="16" t="n">
        <v>0.005</v>
      </c>
      <c r="M53" s="16" t="n">
        <v>0.23</v>
      </c>
      <c r="N53" s="16" t="n">
        <v>0.607</v>
      </c>
      <c r="O53" s="16" t="n">
        <v>0.154</v>
      </c>
      <c r="P53" s="16" t="n">
        <v>0.006999999999999999</v>
      </c>
      <c r="Q53" s="16" t="n">
        <v>0.002</v>
      </c>
      <c r="R53" s="11" t="inlineStr">
        <is>
          <t>Москва и МО 16%, Казань 10%, Екатеринбург 9%</t>
        </is>
      </c>
      <c r="S53" s="11" t="inlineStr">
        <is>
          <t>—</t>
        </is>
      </c>
      <c r="T53" s="11" t="inlineStr">
        <is>
          <t>Ж 64% / М 36%, 18–34 (85%)</t>
        </is>
      </c>
      <c r="U53" s="11" t="inlineStr">
        <is>
          <t>Беременным тяжело нагибаться — нужна лёгкая уборка. Маленький сегмент (122 тыс.)</t>
        </is>
      </c>
    </row>
    <row r="54" ht="42" customHeight="1">
      <c r="A54" s="5" t="inlineStr">
        <is>
          <t>Ламинат</t>
        </is>
      </c>
      <c r="B54" s="11" t="inlineStr">
        <is>
          <t>Вертикальный моющий пылесос</t>
        </is>
      </c>
      <c r="C54" s="20" t="inlineStr">
        <is>
          <t>Аудитория</t>
        </is>
      </c>
      <c r="D54" s="26" t="n">
        <v>126000</v>
      </c>
      <c r="E54" s="16" t="n">
        <v>0.527</v>
      </c>
      <c r="F54" s="16" t="n">
        <v>0.474</v>
      </c>
      <c r="G54" s="16" t="n">
        <v>0.622</v>
      </c>
      <c r="H54" s="16" t="n">
        <v>0.131</v>
      </c>
      <c r="I54" s="16" t="n">
        <v>0.336</v>
      </c>
      <c r="J54" s="16" t="n">
        <v>0.334</v>
      </c>
      <c r="K54" s="16" t="n">
        <v>0.146</v>
      </c>
      <c r="L54" s="16" t="n">
        <v>0.05</v>
      </c>
      <c r="M54" s="16" t="n">
        <v>0.255</v>
      </c>
      <c r="N54" s="16" t="n">
        <v>0.542</v>
      </c>
      <c r="O54" s="16" t="n">
        <v>0.184</v>
      </c>
      <c r="P54" s="16" t="n">
        <v>0.016</v>
      </c>
      <c r="Q54" s="16" t="n">
        <v>0.003</v>
      </c>
      <c r="R54" s="11" t="inlineStr">
        <is>
          <t>Москва и МО 13%, Екатеринбург 8%, СПб 8%</t>
        </is>
      </c>
      <c r="S54" s="11" t="inlineStr">
        <is>
          <t>—</t>
        </is>
      </c>
      <c r="T54" s="11" t="inlineStr">
        <is>
          <t>М 53% / Ж 47%, 25–44 (67%)</t>
        </is>
      </c>
      <c r="U54" s="11" t="inlineStr">
        <is>
          <t>Новый ламинат боится воды — нужна влажная уборка без луж. Маленький сегмент (126 тыс.)</t>
        </is>
      </c>
    </row>
    <row r="55" ht="42" customHeight="1">
      <c r="A55" s="5" t="inlineStr">
        <is>
          <t>Набор автохимии</t>
        </is>
      </c>
      <c r="B55" s="11" t="inlineStr">
        <is>
          <t>Компактный моющий пылесос</t>
        </is>
      </c>
      <c r="C55" s="20" t="inlineStr">
        <is>
          <t>Аудитория</t>
        </is>
      </c>
      <c r="D55" s="26" t="n">
        <v>257000</v>
      </c>
      <c r="E55" s="16" t="n">
        <v>0.659</v>
      </c>
      <c r="F55" s="16" t="n">
        <v>0.341</v>
      </c>
      <c r="G55" s="16" t="n">
        <v>0.633</v>
      </c>
      <c r="H55" s="16" t="n">
        <v>0.273</v>
      </c>
      <c r="I55" s="16" t="n">
        <v>0.35</v>
      </c>
      <c r="J55" s="16" t="n">
        <v>0.259</v>
      </c>
      <c r="K55" s="16" t="n">
        <v>0.08800000000000001</v>
      </c>
      <c r="L55" s="16" t="n">
        <v>0.024</v>
      </c>
      <c r="M55" s="16" t="n">
        <v>0.282</v>
      </c>
      <c r="N55" s="16" t="n">
        <v>0.5660000000000001</v>
      </c>
      <c r="O55" s="16" t="n">
        <v>0.141</v>
      </c>
      <c r="P55" s="16" t="n">
        <v>0.009000000000000001</v>
      </c>
      <c r="Q55" s="16" t="n">
        <v>0.002</v>
      </c>
      <c r="R55" s="11" t="inlineStr">
        <is>
          <t>Москва и МО 13%, Казань 11%, Краснодар 9%</t>
        </is>
      </c>
      <c r="S55" s="11" t="inlineStr">
        <is>
          <t>—</t>
        </is>
      </c>
      <c r="T55" s="11" t="inlineStr">
        <is>
          <t>М 66% / Ж 34%, 18–34 (62%)</t>
        </is>
      </c>
      <c r="U55" s="11" t="inlineStr">
        <is>
          <t>Сами ухаживают за машиной — пятна на сиденьях и коврах. Молодые мужчины</t>
        </is>
      </c>
    </row>
    <row r="56" ht="42" customHeight="1">
      <c r="A56" s="5" t="inlineStr">
        <is>
          <t>Аптека</t>
        </is>
      </c>
      <c r="B56" s="11" t="inlineStr">
        <is>
          <t>Вертикальный пылесос, паровая швабра</t>
        </is>
      </c>
      <c r="C56" s="20" t="inlineStr">
        <is>
          <t>Аудитория</t>
        </is>
      </c>
      <c r="D56" s="26" t="n">
        <v>38887000</v>
      </c>
      <c r="E56" s="16" t="n">
        <v>0.511</v>
      </c>
      <c r="F56" s="16" t="n">
        <v>0.489</v>
      </c>
      <c r="G56" s="16" t="n">
        <v>0.589</v>
      </c>
      <c r="H56" s="16" t="n">
        <v>0.185</v>
      </c>
      <c r="I56" s="16" t="n">
        <v>0.315</v>
      </c>
      <c r="J56" s="16" t="n">
        <v>0.307</v>
      </c>
      <c r="K56" s="16" t="n">
        <v>0.127</v>
      </c>
      <c r="L56" s="16" t="n">
        <v>0.062</v>
      </c>
      <c r="M56" s="16" t="n">
        <v>0.405</v>
      </c>
      <c r="N56" s="16" t="n">
        <v>0.468</v>
      </c>
      <c r="O56" s="16" t="n">
        <v>0.114</v>
      </c>
      <c r="P56" s="16" t="n">
        <v>0.011</v>
      </c>
      <c r="Q56" s="16" t="n">
        <v>0.003</v>
      </c>
      <c r="R56" s="11" t="inlineStr">
        <is>
          <t>Москва и МО 15%, Казань 10%, Екатеринбург 8%</t>
        </is>
      </c>
      <c r="S56" s="11" t="inlineStr">
        <is>
          <t>—</t>
        </is>
      </c>
      <c r="T56" s="11" t="inlineStr">
        <is>
          <t>М 51% / Ж 49%, 25–44 (62%)</t>
        </is>
      </c>
      <c r="U56" s="11" t="inlineStr">
        <is>
          <t>Огромная (39 млн) и экономная — только узко: Ж 45+. Болит спина от уборки. Без медицинских обещаний</t>
        </is>
      </c>
    </row>
    <row r="58" ht="22" customHeight="1">
      <c r="A58" s="3" t="inlineStr">
        <is>
          <t>Итог: куда идти в первую очередь</t>
        </is>
      </c>
    </row>
    <row r="59" ht="15" customHeight="1">
      <c r="A59" s="8" t="inlineStr">
        <is>
          <t>•  Кофеварки → капсульные кофемашины (размещение), проекторы и автоэлектроника (аудитория, мужчины 25–44).</t>
        </is>
      </c>
    </row>
    <row r="60" ht="15" customHeight="1">
      <c r="A60" s="8" t="inlineStr">
        <is>
          <t>•  Пылесосы → моющие пылесосы и роботы для окон (размещение, 25–44, чек выше рынка); владельцы питомцев (аудитория).</t>
        </is>
      </c>
    </row>
    <row r="61" ht="15" customHeight="1">
      <c r="A61" s="8" t="inlineStr">
        <is>
          <t>•  Утюги и отпариватели → пароочистители (размещение, сильнейшая связь); фены — молодые женщины (аудитория).</t>
        </is>
      </c>
    </row>
    <row r="62" ht="15" customHeight="1">
      <c r="A62" s="8" t="inlineStr">
        <is>
          <t>•  Мультиварки/аэрогрили → формы для запекания и бумага для выпечки (размещение, женщины 25–44).</t>
        </is>
      </c>
    </row>
    <row r="63" ht="15" customHeight="1">
      <c r="A63" s="8" t="inlineStr">
        <is>
          <t>•  Тренажёры → легинсы, БАДы, суперфуды (размещение, женщины 25–44, Москва).</t>
        </is>
      </c>
    </row>
    <row r="64" ht="30" customHeight="1">
      <c r="A64" s="8" t="inlineStr">
        <is>
          <t>•  Огромные категории (моющие средства, косметика, игрушки) — только с узким таргетом по полу/возрасту/региону: там много экономных покупателей.</t>
        </is>
      </c>
    </row>
    <row r="66">
      <c r="A66" s="13" t="inlineStr">
        <is>
          <t>Источник: личный кабинет Ozon Seller → Портрет покупателя → Конструктор сегментов («Купили ≥1 раза товары категории за 365 дней», все продавцы), 26.10.2026. Выводы и таргет — аналитика по этим данным.</t>
        </is>
      </c>
    </row>
  </sheetData>
  <mergeCells count="12">
    <mergeCell ref="A4:U4"/>
    <mergeCell ref="A62:U62"/>
    <mergeCell ref="A64:U64"/>
    <mergeCell ref="A7:U7"/>
    <mergeCell ref="A59:U59"/>
    <mergeCell ref="A60:U60"/>
    <mergeCell ref="A63:U63"/>
    <mergeCell ref="A5:U5"/>
    <mergeCell ref="A66:U66"/>
    <mergeCell ref="A58:U58"/>
    <mergeCell ref="A61:U61"/>
    <mergeCell ref="A6:U6"/>
  </mergeCells>
  <conditionalFormatting sqref="E11:E56">
    <cfRule type="colorScale" priority="1">
      <colorScale>
        <cfvo type="min"/>
        <cfvo type="max"/>
        <color rgb="00FFFFFF"/>
        <color rgb="0063BE7B"/>
      </colorScale>
    </cfRule>
  </conditionalFormatting>
  <conditionalFormatting sqref="F11:F56">
    <cfRule type="colorScale" priority="2">
      <colorScale>
        <cfvo type="min"/>
        <cfvo type="max"/>
        <color rgb="00FFFFFF"/>
        <color rgb="0063BE7B"/>
      </colorScale>
    </cfRule>
  </conditionalFormatting>
  <conditionalFormatting sqref="G11:G56">
    <cfRule type="colorScale" priority="3">
      <colorScale>
        <cfvo type="min"/>
        <cfvo type="max"/>
        <color rgb="00FFFFFF"/>
        <color rgb="0063BE7B"/>
      </colorScale>
    </cfRule>
  </conditionalFormatting>
  <conditionalFormatting sqref="H11:H56">
    <cfRule type="colorScale" priority="4">
      <colorScale>
        <cfvo type="min"/>
        <cfvo type="max"/>
        <color rgb="00FFFFFF"/>
        <color rgb="0063BE7B"/>
      </colorScale>
    </cfRule>
  </conditionalFormatting>
  <conditionalFormatting sqref="I11:I56">
    <cfRule type="colorScale" priority="5">
      <colorScale>
        <cfvo type="min"/>
        <cfvo type="max"/>
        <color rgb="00FFFFFF"/>
        <color rgb="0063BE7B"/>
      </colorScale>
    </cfRule>
  </conditionalFormatting>
  <conditionalFormatting sqref="J11:J56">
    <cfRule type="colorScale" priority="6">
      <colorScale>
        <cfvo type="min"/>
        <cfvo type="max"/>
        <color rgb="00FFFFFF"/>
        <color rgb="0063BE7B"/>
      </colorScale>
    </cfRule>
  </conditionalFormatting>
  <conditionalFormatting sqref="K11:K56">
    <cfRule type="colorScale" priority="7">
      <colorScale>
        <cfvo type="min"/>
        <cfvo type="max"/>
        <color rgb="00FFFFFF"/>
        <color rgb="0063BE7B"/>
      </colorScale>
    </cfRule>
  </conditionalFormatting>
  <conditionalFormatting sqref="L11:L56">
    <cfRule type="colorScale" priority="8">
      <colorScale>
        <cfvo type="min"/>
        <cfvo type="max"/>
        <color rgb="00FFFFFF"/>
        <color rgb="0063BE7B"/>
      </colorScale>
    </cfRule>
  </conditionalFormatting>
  <conditionalFormatting sqref="M11:M56">
    <cfRule type="colorScale" priority="9">
      <colorScale>
        <cfvo type="min"/>
        <cfvo type="max"/>
        <color rgb="00FFFFFF"/>
        <color rgb="0063BE7B"/>
      </colorScale>
    </cfRule>
  </conditionalFormatting>
  <conditionalFormatting sqref="N11:N56">
    <cfRule type="colorScale" priority="10">
      <colorScale>
        <cfvo type="min"/>
        <cfvo type="max"/>
        <color rgb="00FFFFFF"/>
        <color rgb="0063BE7B"/>
      </colorScale>
    </cfRule>
  </conditionalFormatting>
  <conditionalFormatting sqref="O11:O56">
    <cfRule type="colorScale" priority="11">
      <colorScale>
        <cfvo type="min"/>
        <cfvo type="max"/>
        <color rgb="00FFFFFF"/>
        <color rgb="0063BE7B"/>
      </colorScale>
    </cfRule>
  </conditionalFormatting>
  <conditionalFormatting sqref="P11:P56">
    <cfRule type="colorScale" priority="12">
      <colorScale>
        <cfvo type="min"/>
        <cfvo type="max"/>
        <color rgb="00FFFFFF"/>
        <color rgb="0063BE7B"/>
      </colorScale>
    </cfRule>
  </conditionalFormatting>
  <conditionalFormatting sqref="Q11:Q56">
    <cfRule type="colorScale" priority="13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2026-10-26T16:43:11Z</dcterms:created>
  <dcterms:modified xmlns:dcterms="http://purl.org/dc/terms/" xmlns:xsi="http://www.w3.org/2001/XMLSchema-instance" xsi:type="dcterms:W3CDTF">2026-10-26T16:43:11Z</dcterms:modified>
</cp:coreProperties>
</file>